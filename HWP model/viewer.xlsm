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5111b485cb8d4bf/M3/"/>
    </mc:Choice>
  </mc:AlternateContent>
  <xr:revisionPtr revIDLastSave="0" documentId="11_146C12E22E44E8EDEB9DB698274D9C5303EA25AB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etup" sheetId="1" r:id="rId1"/>
    <sheet name="View" sheetId="2" r:id="rId2"/>
    <sheet name="Data" sheetId="3" r:id="rId3"/>
    <sheet name="Tabl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7" i="2" l="1"/>
  <c r="K67" i="2"/>
  <c r="J67" i="2"/>
  <c r="I67" i="2"/>
  <c r="K66" i="2"/>
  <c r="I66" i="2"/>
  <c r="I54" i="2"/>
  <c r="I53" i="2"/>
  <c r="I52" i="2"/>
  <c r="G52" i="2"/>
  <c r="F52" i="2"/>
  <c r="E52" i="2"/>
  <c r="E67" i="2" s="1"/>
  <c r="D52" i="2"/>
  <c r="D67" i="2" s="1"/>
  <c r="I51" i="2"/>
  <c r="F51" i="2"/>
  <c r="F66" i="2" s="1"/>
  <c r="D51" i="2"/>
  <c r="D66" i="2" s="1"/>
  <c r="D50" i="2"/>
  <c r="B45" i="2"/>
  <c r="B43" i="2"/>
  <c r="A43" i="2"/>
  <c r="B41" i="2"/>
  <c r="B39" i="2"/>
  <c r="A39" i="2"/>
  <c r="B30" i="2"/>
  <c r="B28" i="2"/>
  <c r="A28" i="2"/>
  <c r="B26" i="2"/>
  <c r="B24" i="2"/>
  <c r="A24" i="2"/>
  <c r="L23" i="2"/>
  <c r="K23" i="2"/>
  <c r="J23" i="2"/>
  <c r="J38" i="2" s="1"/>
  <c r="I23" i="2"/>
  <c r="I38" i="2" s="1"/>
  <c r="E23" i="2"/>
  <c r="E38" i="2" s="1"/>
  <c r="D23" i="2"/>
  <c r="D38" i="2" s="1"/>
  <c r="K22" i="2"/>
  <c r="K37" i="2" s="1"/>
  <c r="I22" i="2"/>
  <c r="I37" i="2" s="1"/>
  <c r="F22" i="2"/>
  <c r="F37" i="2" s="1"/>
  <c r="D22" i="2"/>
  <c r="D37" i="2" s="1"/>
  <c r="G16" i="2"/>
  <c r="F16" i="2"/>
  <c r="E16" i="2"/>
  <c r="D16" i="2"/>
  <c r="G15" i="2"/>
  <c r="F15" i="2"/>
  <c r="E15" i="2"/>
  <c r="D15" i="2"/>
  <c r="G14" i="2"/>
  <c r="F14" i="2"/>
  <c r="E14" i="2"/>
  <c r="D14" i="2"/>
  <c r="G13" i="2"/>
  <c r="F13" i="2"/>
  <c r="E13" i="2"/>
  <c r="D13" i="2"/>
  <c r="G12" i="2"/>
  <c r="F12" i="2"/>
  <c r="E12" i="2"/>
  <c r="D12" i="2"/>
  <c r="O11" i="2"/>
  <c r="G11" i="2"/>
  <c r="F11" i="2"/>
  <c r="E11" i="2"/>
  <c r="D11" i="2"/>
  <c r="G10" i="2"/>
  <c r="F10" i="2"/>
  <c r="E10" i="2"/>
  <c r="D10" i="2"/>
  <c r="U9" i="2"/>
  <c r="O9" i="2"/>
  <c r="K9" i="2"/>
  <c r="G9" i="2"/>
  <c r="F9" i="2"/>
  <c r="E9" i="2"/>
  <c r="D9" i="2"/>
  <c r="AJ8" i="2"/>
  <c r="AO23" i="2" s="1"/>
  <c r="AH8" i="2"/>
  <c r="AH15" i="2" s="1"/>
  <c r="Z8" i="2"/>
  <c r="AE23" i="2" s="1"/>
  <c r="X8" i="2"/>
  <c r="X17" i="2" s="1"/>
  <c r="V8" i="2"/>
  <c r="V9" i="2" s="1"/>
  <c r="U8" i="2"/>
  <c r="U15" i="2" s="1"/>
  <c r="T8" i="2"/>
  <c r="AD8" i="2" s="1"/>
  <c r="S8" i="2"/>
  <c r="S16" i="2" s="1"/>
  <c r="Q8" i="2"/>
  <c r="Q16" i="2" s="1"/>
  <c r="P8" i="2"/>
  <c r="U23" i="2" s="1"/>
  <c r="O8" i="2"/>
  <c r="T23" i="2" s="1"/>
  <c r="T38" i="2" s="1"/>
  <c r="N8" i="2"/>
  <c r="N15" i="2" s="1"/>
  <c r="L8" i="2"/>
  <c r="L9" i="2" s="1"/>
  <c r="K8" i="2"/>
  <c r="K15" i="2" s="1"/>
  <c r="J8" i="2"/>
  <c r="J15" i="2" s="1"/>
  <c r="I8" i="2"/>
  <c r="I16" i="2" s="1"/>
  <c r="AJ7" i="2"/>
  <c r="AT7" i="2" s="1"/>
  <c r="AE7" i="2"/>
  <c r="AJ22" i="2" s="1"/>
  <c r="AJ37" i="2" s="1"/>
  <c r="AC7" i="2"/>
  <c r="AH22" i="2" s="1"/>
  <c r="AH37" i="2" s="1"/>
  <c r="Z7" i="2"/>
  <c r="AE22" i="2" s="1"/>
  <c r="AE37" i="2" s="1"/>
  <c r="X7" i="2"/>
  <c r="AC22" i="2" s="1"/>
  <c r="AC37" i="2" s="1"/>
  <c r="U7" i="2"/>
  <c r="Z22" i="2" s="1"/>
  <c r="Z37" i="2" s="1"/>
  <c r="S7" i="2"/>
  <c r="X22" i="2" s="1"/>
  <c r="X37" i="2" s="1"/>
  <c r="P7" i="2"/>
  <c r="U22" i="2" s="1"/>
  <c r="U37" i="2" s="1"/>
  <c r="N7" i="2"/>
  <c r="S22" i="2" s="1"/>
  <c r="S37" i="2" s="1"/>
  <c r="K7" i="2"/>
  <c r="P22" i="2" s="1"/>
  <c r="P37" i="2" s="1"/>
  <c r="I7" i="2"/>
  <c r="N22" i="2" s="1"/>
  <c r="N37" i="2" s="1"/>
  <c r="AS6" i="2"/>
  <c r="AN6" i="2"/>
  <c r="AD6" i="2"/>
  <c r="Y6" i="2"/>
  <c r="O6" i="2"/>
  <c r="O13" i="2" s="1"/>
  <c r="J6" i="2"/>
  <c r="AE1" i="2"/>
  <c r="G1" i="2"/>
  <c r="G14" i="1"/>
  <c r="F14" i="1"/>
  <c r="H13" i="1"/>
  <c r="G13" i="1"/>
  <c r="F13" i="1"/>
  <c r="H12" i="1"/>
  <c r="G12" i="1"/>
  <c r="F12" i="1"/>
  <c r="G11" i="1"/>
  <c r="F11" i="1"/>
  <c r="G10" i="1"/>
  <c r="F10" i="1"/>
  <c r="H9" i="1"/>
  <c r="G9" i="1"/>
  <c r="F9" i="1"/>
  <c r="H8" i="1"/>
  <c r="G8" i="1"/>
  <c r="F8" i="1"/>
  <c r="B5" i="1"/>
  <c r="B4" i="1"/>
  <c r="B3" i="1"/>
  <c r="AD15" i="2" l="1"/>
  <c r="AD13" i="2"/>
  <c r="AD11" i="2"/>
  <c r="AD9" i="2"/>
  <c r="AD24" i="2" s="1"/>
  <c r="AD10" i="2"/>
  <c r="AD12" i="2"/>
  <c r="AI23" i="2"/>
  <c r="AI38" i="2" s="1"/>
  <c r="AD14" i="2"/>
  <c r="AD16" i="2"/>
  <c r="E59" i="2"/>
  <c r="E30" i="2" s="1"/>
  <c r="O15" i="2"/>
  <c r="J16" i="2"/>
  <c r="T16" i="2"/>
  <c r="X18" i="2"/>
  <c r="AO22" i="2"/>
  <c r="AO37" i="2" s="1"/>
  <c r="V23" i="2"/>
  <c r="E53" i="2"/>
  <c r="O24" i="2" s="1"/>
  <c r="E57" i="2"/>
  <c r="E28" i="2" s="1"/>
  <c r="J14" i="2"/>
  <c r="T14" i="2"/>
  <c r="AH7" i="2"/>
  <c r="AE8" i="2"/>
  <c r="AO8" i="2"/>
  <c r="F53" i="2"/>
  <c r="U24" i="2" s="1"/>
  <c r="P9" i="2"/>
  <c r="Z9" i="2"/>
  <c r="AJ9" i="2"/>
  <c r="K10" i="2"/>
  <c r="U10" i="2"/>
  <c r="F55" i="2"/>
  <c r="F26" i="2" s="1"/>
  <c r="P11" i="2"/>
  <c r="Z11" i="2"/>
  <c r="AJ11" i="2"/>
  <c r="K12" i="2"/>
  <c r="U12" i="2"/>
  <c r="F57" i="2"/>
  <c r="F28" i="2" s="1"/>
  <c r="P13" i="2"/>
  <c r="Z13" i="2"/>
  <c r="AJ13" i="2"/>
  <c r="K14" i="2"/>
  <c r="U14" i="2"/>
  <c r="F59" i="2"/>
  <c r="U30" i="2" s="1"/>
  <c r="P15" i="2"/>
  <c r="Z15" i="2"/>
  <c r="AJ15" i="2"/>
  <c r="K16" i="2"/>
  <c r="U16" i="2"/>
  <c r="N23" i="2"/>
  <c r="N38" i="2" s="1"/>
  <c r="X23" i="2"/>
  <c r="X38" i="2" s="1"/>
  <c r="E55" i="2"/>
  <c r="E26" i="2" s="1"/>
  <c r="G53" i="2"/>
  <c r="V24" i="2" s="1"/>
  <c r="Q9" i="2"/>
  <c r="L10" i="2"/>
  <c r="V10" i="2"/>
  <c r="G55" i="2"/>
  <c r="G26" i="2" s="1"/>
  <c r="Q11" i="2"/>
  <c r="L12" i="2"/>
  <c r="V12" i="2"/>
  <c r="G57" i="2"/>
  <c r="G28" i="2" s="1"/>
  <c r="Q13" i="2"/>
  <c r="L14" i="2"/>
  <c r="V14" i="2"/>
  <c r="G59" i="2"/>
  <c r="G30" i="2" s="1"/>
  <c r="Q15" i="2"/>
  <c r="L16" i="2"/>
  <c r="L75" i="2" s="1"/>
  <c r="V16" i="2"/>
  <c r="O23" i="2"/>
  <c r="O38" i="2" s="1"/>
  <c r="Y23" i="2"/>
  <c r="Y38" i="2" s="1"/>
  <c r="J12" i="2"/>
  <c r="T12" i="2"/>
  <c r="AF8" i="2"/>
  <c r="AR8" i="2"/>
  <c r="I9" i="2"/>
  <c r="S9" i="2"/>
  <c r="D54" i="2"/>
  <c r="D25" i="2" s="1"/>
  <c r="N10" i="2"/>
  <c r="X10" i="2"/>
  <c r="AH10" i="2"/>
  <c r="I11" i="2"/>
  <c r="S11" i="2"/>
  <c r="D56" i="2"/>
  <c r="D27" i="2" s="1"/>
  <c r="N12" i="2"/>
  <c r="X12" i="2"/>
  <c r="AH12" i="2"/>
  <c r="I13" i="2"/>
  <c r="S13" i="2"/>
  <c r="D58" i="2"/>
  <c r="D29" i="2" s="1"/>
  <c r="N14" i="2"/>
  <c r="X14" i="2"/>
  <c r="AH14" i="2"/>
  <c r="I15" i="2"/>
  <c r="S15" i="2"/>
  <c r="I74" i="2" s="1"/>
  <c r="D60" i="2"/>
  <c r="I31" i="2" s="1"/>
  <c r="N16" i="2"/>
  <c r="X16" i="2"/>
  <c r="AH16" i="2"/>
  <c r="P23" i="2"/>
  <c r="Z23" i="2"/>
  <c r="J10" i="2"/>
  <c r="T10" i="2"/>
  <c r="T25" i="2" s="1"/>
  <c r="AO7" i="2"/>
  <c r="AT22" i="2" s="1"/>
  <c r="AT37" i="2" s="1"/>
  <c r="Y8" i="2"/>
  <c r="AI8" i="2"/>
  <c r="J9" i="2"/>
  <c r="J24" i="2" s="1"/>
  <c r="T9" i="2"/>
  <c r="T24" i="2" s="1"/>
  <c r="E54" i="2"/>
  <c r="E25" i="2" s="1"/>
  <c r="O10" i="2"/>
  <c r="J11" i="2"/>
  <c r="J26" i="2" s="1"/>
  <c r="T11" i="2"/>
  <c r="T26" i="2" s="1"/>
  <c r="E56" i="2"/>
  <c r="E27" i="2" s="1"/>
  <c r="O12" i="2"/>
  <c r="O27" i="2" s="1"/>
  <c r="J13" i="2"/>
  <c r="J28" i="2" s="1"/>
  <c r="T13" i="2"/>
  <c r="T28" i="2" s="1"/>
  <c r="E58" i="2"/>
  <c r="E29" i="2" s="1"/>
  <c r="O14" i="2"/>
  <c r="E73" i="2" s="1"/>
  <c r="T15" i="2"/>
  <c r="T30" i="2" s="1"/>
  <c r="E60" i="2"/>
  <c r="E31" i="2" s="1"/>
  <c r="O16" i="2"/>
  <c r="E75" i="2" s="1"/>
  <c r="Q23" i="2"/>
  <c r="AA23" i="2"/>
  <c r="F54" i="2"/>
  <c r="F25" i="2" s="1"/>
  <c r="P10" i="2"/>
  <c r="F69" i="2" s="1"/>
  <c r="Z10" i="2"/>
  <c r="AJ10" i="2"/>
  <c r="K11" i="2"/>
  <c r="U11" i="2"/>
  <c r="F56" i="2"/>
  <c r="F27" i="2" s="1"/>
  <c r="P12" i="2"/>
  <c r="F71" i="2" s="1"/>
  <c r="Z12" i="2"/>
  <c r="AJ12" i="2"/>
  <c r="K13" i="2"/>
  <c r="U13" i="2"/>
  <c r="F58" i="2"/>
  <c r="F29" i="2" s="1"/>
  <c r="P14" i="2"/>
  <c r="Z14" i="2"/>
  <c r="AJ14" i="2"/>
  <c r="F60" i="2"/>
  <c r="F31" i="2" s="1"/>
  <c r="P16" i="2"/>
  <c r="Z16" i="2"/>
  <c r="AJ16" i="2"/>
  <c r="S23" i="2"/>
  <c r="S38" i="2" s="1"/>
  <c r="AC23" i="2"/>
  <c r="AC38" i="2" s="1"/>
  <c r="AM23" i="2"/>
  <c r="AM38" i="2" s="1"/>
  <c r="AT8" i="2"/>
  <c r="G54" i="2"/>
  <c r="G25" i="2" s="1"/>
  <c r="Q10" i="2"/>
  <c r="L11" i="2"/>
  <c r="V11" i="2"/>
  <c r="G56" i="2"/>
  <c r="G27" i="2" s="1"/>
  <c r="Q12" i="2"/>
  <c r="L13" i="2"/>
  <c r="V13" i="2"/>
  <c r="G58" i="2"/>
  <c r="G29" i="2" s="1"/>
  <c r="Q14" i="2"/>
  <c r="L15" i="2"/>
  <c r="V15" i="2"/>
  <c r="G75" i="2"/>
  <c r="G60" i="2"/>
  <c r="Q31" i="2" s="1"/>
  <c r="AA8" i="2"/>
  <c r="AK8" i="2"/>
  <c r="AC8" i="2"/>
  <c r="AM8" i="2"/>
  <c r="D53" i="2"/>
  <c r="D24" i="2" s="1"/>
  <c r="N9" i="2"/>
  <c r="X9" i="2"/>
  <c r="AH9" i="2"/>
  <c r="I10" i="2"/>
  <c r="I25" i="2" s="1"/>
  <c r="S10" i="2"/>
  <c r="S25" i="2" s="1"/>
  <c r="D55" i="2"/>
  <c r="D26" i="2" s="1"/>
  <c r="N11" i="2"/>
  <c r="X11" i="2"/>
  <c r="AH11" i="2"/>
  <c r="I12" i="2"/>
  <c r="S12" i="2"/>
  <c r="D57" i="2"/>
  <c r="D28" i="2" s="1"/>
  <c r="N13" i="2"/>
  <c r="X13" i="2"/>
  <c r="AH13" i="2"/>
  <c r="I14" i="2"/>
  <c r="S14" i="2"/>
  <c r="D59" i="2"/>
  <c r="N30" i="2" s="1"/>
  <c r="X15" i="2"/>
  <c r="X30" i="2" l="1"/>
  <c r="Z28" i="2"/>
  <c r="Z30" i="2"/>
  <c r="V26" i="2"/>
  <c r="I29" i="2"/>
  <c r="L30" i="2"/>
  <c r="L26" i="2"/>
  <c r="V30" i="2"/>
  <c r="P29" i="2"/>
  <c r="Q26" i="2"/>
  <c r="F75" i="2"/>
  <c r="D74" i="2"/>
  <c r="I45" i="2" s="1"/>
  <c r="O25" i="2"/>
  <c r="Q24" i="2"/>
  <c r="Q27" i="2"/>
  <c r="AJ29" i="2"/>
  <c r="Z29" i="2"/>
  <c r="I68" i="2"/>
  <c r="P30" i="2"/>
  <c r="N29" i="2"/>
  <c r="F24" i="2"/>
  <c r="AJ24" i="2"/>
  <c r="AJ31" i="2"/>
  <c r="X31" i="2"/>
  <c r="Z24" i="2"/>
  <c r="Q29" i="2"/>
  <c r="Z31" i="2"/>
  <c r="N31" i="2"/>
  <c r="P24" i="2"/>
  <c r="I70" i="2"/>
  <c r="I72" i="2"/>
  <c r="S24" i="2"/>
  <c r="D30" i="2"/>
  <c r="S27" i="2"/>
  <c r="AH24" i="2"/>
  <c r="G73" i="2"/>
  <c r="V44" i="2" s="1"/>
  <c r="Q25" i="2"/>
  <c r="P31" i="2"/>
  <c r="F73" i="2"/>
  <c r="U26" i="2"/>
  <c r="AH27" i="2"/>
  <c r="AJ26" i="2"/>
  <c r="D31" i="2"/>
  <c r="I27" i="2"/>
  <c r="X24" i="2"/>
  <c r="V28" i="2"/>
  <c r="U28" i="2"/>
  <c r="K26" i="2"/>
  <c r="AH29" i="2"/>
  <c r="O26" i="2"/>
  <c r="Z26" i="2"/>
  <c r="E24" i="2"/>
  <c r="S29" i="2"/>
  <c r="N24" i="2"/>
  <c r="L28" i="2"/>
  <c r="K28" i="2"/>
  <c r="O31" i="2"/>
  <c r="AH31" i="2"/>
  <c r="X29" i="2"/>
  <c r="G24" i="2"/>
  <c r="AJ28" i="2"/>
  <c r="P26" i="2"/>
  <c r="O44" i="2"/>
  <c r="E44" i="2"/>
  <c r="AD44" i="2"/>
  <c r="T44" i="2"/>
  <c r="J44" i="2"/>
  <c r="AH28" i="2"/>
  <c r="L69" i="2"/>
  <c r="L71" i="2"/>
  <c r="Z25" i="2"/>
  <c r="I69" i="2"/>
  <c r="J27" i="2"/>
  <c r="L70" i="2"/>
  <c r="J70" i="2"/>
  <c r="K27" i="2"/>
  <c r="U25" i="2"/>
  <c r="AO15" i="2"/>
  <c r="AO30" i="2" s="1"/>
  <c r="AO13" i="2"/>
  <c r="AO28" i="2" s="1"/>
  <c r="AO11" i="2"/>
  <c r="AO26" i="2" s="1"/>
  <c r="AO9" i="2"/>
  <c r="AO24" i="2" s="1"/>
  <c r="AT23" i="2"/>
  <c r="AO16" i="2"/>
  <c r="AO31" i="2" s="1"/>
  <c r="AO14" i="2"/>
  <c r="AO29" i="2" s="1"/>
  <c r="AO12" i="2"/>
  <c r="AO27" i="2" s="1"/>
  <c r="AO10" i="2"/>
  <c r="AO25" i="2" s="1"/>
  <c r="J31" i="2"/>
  <c r="AD31" i="2"/>
  <c r="AD30" i="2"/>
  <c r="AH30" i="2"/>
  <c r="AC16" i="2"/>
  <c r="AC31" i="2" s="1"/>
  <c r="AC14" i="2"/>
  <c r="AC29" i="2" s="1"/>
  <c r="AC12" i="2"/>
  <c r="AC27" i="2" s="1"/>
  <c r="AC10" i="2"/>
  <c r="AC25" i="2" s="1"/>
  <c r="AC15" i="2"/>
  <c r="AC30" i="2" s="1"/>
  <c r="AC13" i="2"/>
  <c r="AC28" i="2" s="1"/>
  <c r="AC11" i="2"/>
  <c r="AC26" i="2" s="1"/>
  <c r="AC9" i="2"/>
  <c r="AC24" i="2" s="1"/>
  <c r="AH23" i="2"/>
  <c r="AH38" i="2" s="1"/>
  <c r="AH26" i="2"/>
  <c r="AU8" i="2"/>
  <c r="AK16" i="2"/>
  <c r="AK31" i="2" s="1"/>
  <c r="AK14" i="2"/>
  <c r="AK29" i="2" s="1"/>
  <c r="AK12" i="2"/>
  <c r="AK27" i="2" s="1"/>
  <c r="AK10" i="2"/>
  <c r="AK25" i="2" s="1"/>
  <c r="AP8" i="2"/>
  <c r="AK15" i="2"/>
  <c r="AK30" i="2" s="1"/>
  <c r="AK13" i="2"/>
  <c r="AK28" i="2" s="1"/>
  <c r="AK11" i="2"/>
  <c r="AK26" i="2" s="1"/>
  <c r="AK9" i="2"/>
  <c r="AK24" i="2" s="1"/>
  <c r="AP23" i="2"/>
  <c r="X26" i="2"/>
  <c r="N26" i="2"/>
  <c r="P27" i="2"/>
  <c r="D72" i="2"/>
  <c r="D70" i="2"/>
  <c r="D68" i="2"/>
  <c r="G31" i="2"/>
  <c r="AT16" i="2"/>
  <c r="AT31" i="2" s="1"/>
  <c r="AT14" i="2"/>
  <c r="AT29" i="2" s="1"/>
  <c r="AT12" i="2"/>
  <c r="AT27" i="2" s="1"/>
  <c r="AT10" i="2"/>
  <c r="AT25" i="2" s="1"/>
  <c r="AT15" i="2"/>
  <c r="AT30" i="2" s="1"/>
  <c r="AT13" i="2"/>
  <c r="AT28" i="2" s="1"/>
  <c r="AT11" i="2"/>
  <c r="AT26" i="2" s="1"/>
  <c r="AT9" i="2"/>
  <c r="AT24" i="2" s="1"/>
  <c r="K75" i="2"/>
  <c r="K71" i="2"/>
  <c r="P71" i="2" s="1"/>
  <c r="S30" i="2"/>
  <c r="D73" i="2"/>
  <c r="G74" i="2"/>
  <c r="G72" i="2"/>
  <c r="V25" i="2"/>
  <c r="K25" i="2"/>
  <c r="AE15" i="2"/>
  <c r="AE30" i="2" s="1"/>
  <c r="AE13" i="2"/>
  <c r="AE28" i="2" s="1"/>
  <c r="AE11" i="2"/>
  <c r="AE26" i="2" s="1"/>
  <c r="AE9" i="2"/>
  <c r="AE24" i="2" s="1"/>
  <c r="AJ23" i="2"/>
  <c r="AE16" i="2"/>
  <c r="AE31" i="2" s="1"/>
  <c r="AE14" i="2"/>
  <c r="AE29" i="2" s="1"/>
  <c r="AE12" i="2"/>
  <c r="AE27" i="2" s="1"/>
  <c r="AE10" i="2"/>
  <c r="AE25" i="2" s="1"/>
  <c r="E68" i="2"/>
  <c r="O30" i="2"/>
  <c r="AD29" i="2"/>
  <c r="J30" i="2"/>
  <c r="K30" i="2"/>
  <c r="N28" i="2"/>
  <c r="L73" i="2"/>
  <c r="G69" i="2"/>
  <c r="K73" i="2"/>
  <c r="P73" i="2" s="1"/>
  <c r="P25" i="2"/>
  <c r="J75" i="2"/>
  <c r="O75" i="2" s="1"/>
  <c r="E71" i="2"/>
  <c r="G71" i="2"/>
  <c r="K69" i="2"/>
  <c r="P69" i="2" s="1"/>
  <c r="AN23" i="2"/>
  <c r="AN38" i="2" s="1"/>
  <c r="AN8" i="2"/>
  <c r="AI16" i="2"/>
  <c r="AI31" i="2" s="1"/>
  <c r="AI14" i="2"/>
  <c r="AI29" i="2" s="1"/>
  <c r="AI12" i="2"/>
  <c r="AI27" i="2" s="1"/>
  <c r="AI10" i="2"/>
  <c r="AI25" i="2" s="1"/>
  <c r="AS8" i="2"/>
  <c r="AI9" i="2"/>
  <c r="AI24" i="2" s="1"/>
  <c r="AI11" i="2"/>
  <c r="AI26" i="2" s="1"/>
  <c r="AI13" i="2"/>
  <c r="AI28" i="2" s="1"/>
  <c r="AI15" i="2"/>
  <c r="AI30" i="2" s="1"/>
  <c r="I30" i="2"/>
  <c r="S28" i="2"/>
  <c r="D71" i="2"/>
  <c r="D69" i="2"/>
  <c r="L72" i="2"/>
  <c r="L25" i="2"/>
  <c r="P28" i="2"/>
  <c r="AM22" i="2"/>
  <c r="AM37" i="2" s="1"/>
  <c r="AR7" i="2"/>
  <c r="AM7" i="2"/>
  <c r="AR22" i="2" s="1"/>
  <c r="AR37" i="2" s="1"/>
  <c r="E74" i="2"/>
  <c r="S31" i="2"/>
  <c r="F46" i="2"/>
  <c r="U44" i="2"/>
  <c r="K44" i="2"/>
  <c r="AJ44" i="2"/>
  <c r="Z44" i="2"/>
  <c r="P44" i="2"/>
  <c r="F44" i="2"/>
  <c r="AD46" i="2"/>
  <c r="T46" i="2"/>
  <c r="J46" i="2"/>
  <c r="O46" i="2"/>
  <c r="E46" i="2"/>
  <c r="AD23" i="2"/>
  <c r="AD38" i="2" s="1"/>
  <c r="Y16" i="2"/>
  <c r="Y31" i="2" s="1"/>
  <c r="Y14" i="2"/>
  <c r="Y29" i="2" s="1"/>
  <c r="Y12" i="2"/>
  <c r="Y27" i="2" s="1"/>
  <c r="Y10" i="2"/>
  <c r="Y25" i="2" s="1"/>
  <c r="Y9" i="2"/>
  <c r="Y24" i="2" s="1"/>
  <c r="Y11" i="2"/>
  <c r="Y26" i="2" s="1"/>
  <c r="Y13" i="2"/>
  <c r="Y28" i="2" s="1"/>
  <c r="Y15" i="2"/>
  <c r="Y30" i="2" s="1"/>
  <c r="I28" i="2"/>
  <c r="S26" i="2"/>
  <c r="L74" i="2"/>
  <c r="V27" i="2"/>
  <c r="F74" i="2"/>
  <c r="T29" i="2"/>
  <c r="J68" i="2"/>
  <c r="AD27" i="2"/>
  <c r="Q44" i="2"/>
  <c r="G44" i="2"/>
  <c r="AJ42" i="2"/>
  <c r="Z42" i="2"/>
  <c r="P42" i="2"/>
  <c r="F42" i="2"/>
  <c r="U42" i="2"/>
  <c r="K42" i="2"/>
  <c r="AJ40" i="2"/>
  <c r="Z40" i="2"/>
  <c r="P40" i="2"/>
  <c r="F40" i="2"/>
  <c r="AO40" i="2"/>
  <c r="AE40" i="2"/>
  <c r="U40" i="2"/>
  <c r="K40" i="2"/>
  <c r="I26" i="2"/>
  <c r="I24" i="2"/>
  <c r="V29" i="2"/>
  <c r="L27" i="2"/>
  <c r="G68" i="2"/>
  <c r="F30" i="2"/>
  <c r="J29" i="2"/>
  <c r="J74" i="2"/>
  <c r="AD25" i="2"/>
  <c r="O28" i="2"/>
  <c r="J69" i="2"/>
  <c r="I75" i="2"/>
  <c r="X27" i="2"/>
  <c r="AH25" i="2"/>
  <c r="AR15" i="2"/>
  <c r="AR30" i="2" s="1"/>
  <c r="AR13" i="2"/>
  <c r="AR28" i="2" s="1"/>
  <c r="AR11" i="2"/>
  <c r="AR26" i="2" s="1"/>
  <c r="AR9" i="2"/>
  <c r="AR24" i="2" s="1"/>
  <c r="AR16" i="2"/>
  <c r="AR31" i="2" s="1"/>
  <c r="AR14" i="2"/>
  <c r="AR29" i="2" s="1"/>
  <c r="AR12" i="2"/>
  <c r="AR27" i="2" s="1"/>
  <c r="AR10" i="2"/>
  <c r="AR25" i="2" s="1"/>
  <c r="V31" i="2"/>
  <c r="L29" i="2"/>
  <c r="U31" i="2"/>
  <c r="K74" i="2"/>
  <c r="F72" i="2"/>
  <c r="F68" i="2"/>
  <c r="K24" i="2"/>
  <c r="AM16" i="2"/>
  <c r="AM31" i="2" s="1"/>
  <c r="AM14" i="2"/>
  <c r="AM29" i="2" s="1"/>
  <c r="AM12" i="2"/>
  <c r="AM27" i="2" s="1"/>
  <c r="AM10" i="2"/>
  <c r="AM25" i="2" s="1"/>
  <c r="AM15" i="2"/>
  <c r="AM30" i="2" s="1"/>
  <c r="AM13" i="2"/>
  <c r="AM28" i="2" s="1"/>
  <c r="AM11" i="2"/>
  <c r="AM26" i="2" s="1"/>
  <c r="AM9" i="2"/>
  <c r="AM24" i="2" s="1"/>
  <c r="AR23" i="2"/>
  <c r="AR38" i="2" s="1"/>
  <c r="Q75" i="2"/>
  <c r="V46" i="2"/>
  <c r="L46" i="2"/>
  <c r="Q46" i="2"/>
  <c r="G46" i="2"/>
  <c r="AJ27" i="2"/>
  <c r="O29" i="2"/>
  <c r="J71" i="2"/>
  <c r="J25" i="2"/>
  <c r="I73" i="2"/>
  <c r="N27" i="2"/>
  <c r="X25" i="2"/>
  <c r="AF9" i="2"/>
  <c r="AF24" i="2" s="1"/>
  <c r="AF15" i="2"/>
  <c r="AF30" i="2" s="1"/>
  <c r="AF13" i="2"/>
  <c r="AF28" i="2" s="1"/>
  <c r="AF11" i="2"/>
  <c r="AF26" i="2" s="1"/>
  <c r="AK23" i="2"/>
  <c r="AF16" i="2"/>
  <c r="AF31" i="2" s="1"/>
  <c r="AF14" i="2"/>
  <c r="AF29" i="2" s="1"/>
  <c r="AF12" i="2"/>
  <c r="AF27" i="2" s="1"/>
  <c r="AF10" i="2"/>
  <c r="AF25" i="2" s="1"/>
  <c r="L31" i="2"/>
  <c r="Q28" i="2"/>
  <c r="L68" i="2"/>
  <c r="K31" i="2"/>
  <c r="U29" i="2"/>
  <c r="K72" i="2"/>
  <c r="F70" i="2"/>
  <c r="E72" i="2"/>
  <c r="AD26" i="2"/>
  <c r="L24" i="2"/>
  <c r="X28" i="2"/>
  <c r="AA16" i="2"/>
  <c r="AA31" i="2" s="1"/>
  <c r="AA14" i="2"/>
  <c r="AA29" i="2" s="1"/>
  <c r="AA12" i="2"/>
  <c r="AA27" i="2" s="1"/>
  <c r="AA10" i="2"/>
  <c r="AA25" i="2" s="1"/>
  <c r="AA15" i="2"/>
  <c r="AA30" i="2" s="1"/>
  <c r="AA13" i="2"/>
  <c r="AA28" i="2" s="1"/>
  <c r="AA11" i="2"/>
  <c r="AA26" i="2" s="1"/>
  <c r="AA9" i="2"/>
  <c r="AA24" i="2" s="1"/>
  <c r="AF23" i="2"/>
  <c r="Z27" i="2"/>
  <c r="AJ25" i="2"/>
  <c r="J73" i="2"/>
  <c r="O73" i="2" s="1"/>
  <c r="E69" i="2"/>
  <c r="D75" i="2"/>
  <c r="I71" i="2"/>
  <c r="N25" i="2"/>
  <c r="T27" i="2"/>
  <c r="Q30" i="2"/>
  <c r="G70" i="2"/>
  <c r="E70" i="2"/>
  <c r="AJ30" i="2"/>
  <c r="K29" i="2"/>
  <c r="U27" i="2"/>
  <c r="K70" i="2"/>
  <c r="K68" i="2"/>
  <c r="J72" i="2"/>
  <c r="T31" i="2"/>
  <c r="AD28" i="2"/>
  <c r="N45" i="2" l="1"/>
  <c r="AH45" i="2"/>
  <c r="S45" i="2"/>
  <c r="P75" i="2"/>
  <c r="N74" i="2"/>
  <c r="D45" i="2"/>
  <c r="AK46" i="2"/>
  <c r="AI46" i="2"/>
  <c r="Z46" i="2"/>
  <c r="X45" i="2"/>
  <c r="P46" i="2"/>
  <c r="AJ46" i="2"/>
  <c r="AE42" i="2"/>
  <c r="AT46" i="2"/>
  <c r="K46" i="2"/>
  <c r="U46" i="2"/>
  <c r="Y46" i="2"/>
  <c r="AK44" i="2"/>
  <c r="L44" i="2"/>
  <c r="AF44" i="2"/>
  <c r="AO44" i="2"/>
  <c r="AT40" i="2"/>
  <c r="AT42" i="2"/>
  <c r="AE46" i="2"/>
  <c r="AO46" i="2"/>
  <c r="Q73" i="2"/>
  <c r="AC45" i="2"/>
  <c r="AD41" i="2"/>
  <c r="T41" i="2"/>
  <c r="J41" i="2"/>
  <c r="O70" i="2"/>
  <c r="AI41" i="2"/>
  <c r="Y41" i="2"/>
  <c r="O41" i="2"/>
  <c r="E41" i="2"/>
  <c r="AF41" i="2"/>
  <c r="V41" i="2"/>
  <c r="L41" i="2"/>
  <c r="Q70" i="2"/>
  <c r="AK41" i="2"/>
  <c r="AA41" i="2"/>
  <c r="Q41" i="2"/>
  <c r="G41" i="2"/>
  <c r="AA46" i="2"/>
  <c r="AN15" i="2"/>
  <c r="AN30" i="2" s="1"/>
  <c r="AN13" i="2"/>
  <c r="AN28" i="2" s="1"/>
  <c r="AN11" i="2"/>
  <c r="AN26" i="2" s="1"/>
  <c r="AN9" i="2"/>
  <c r="AN24" i="2" s="1"/>
  <c r="AN10" i="2"/>
  <c r="AN25" i="2" s="1"/>
  <c r="AN12" i="2"/>
  <c r="AN27" i="2" s="1"/>
  <c r="AS23" i="2"/>
  <c r="AS38" i="2" s="1"/>
  <c r="AN14" i="2"/>
  <c r="AN16" i="2"/>
  <c r="Q69" i="2"/>
  <c r="AK40" i="2"/>
  <c r="AA40" i="2"/>
  <c r="Q40" i="2"/>
  <c r="G40" i="2"/>
  <c r="AF40" i="2"/>
  <c r="V40" i="2"/>
  <c r="L40" i="2"/>
  <c r="AF39" i="2"/>
  <c r="V39" i="2"/>
  <c r="L39" i="2"/>
  <c r="Q68" i="2"/>
  <c r="AK39" i="2"/>
  <c r="AA39" i="2"/>
  <c r="Q39" i="2"/>
  <c r="G39" i="2"/>
  <c r="AU16" i="2"/>
  <c r="AU14" i="2"/>
  <c r="AU12" i="2"/>
  <c r="AU27" i="2" s="1"/>
  <c r="AU10" i="2"/>
  <c r="AU25" i="2" s="1"/>
  <c r="AU15" i="2"/>
  <c r="AU30" i="2" s="1"/>
  <c r="AU13" i="2"/>
  <c r="AU28" i="2" s="1"/>
  <c r="AU11" i="2"/>
  <c r="AU26" i="2" s="1"/>
  <c r="AU9" i="2"/>
  <c r="AU24" i="2" s="1"/>
  <c r="AT43" i="2"/>
  <c r="AJ43" i="2"/>
  <c r="Z43" i="2"/>
  <c r="P43" i="2"/>
  <c r="F43" i="2"/>
  <c r="P72" i="2"/>
  <c r="AO43" i="2"/>
  <c r="AE43" i="2"/>
  <c r="U43" i="2"/>
  <c r="K43" i="2"/>
  <c r="AO42" i="2"/>
  <c r="AT44" i="2"/>
  <c r="AM40" i="2"/>
  <c r="AC40" i="2"/>
  <c r="S40" i="2"/>
  <c r="I40" i="2"/>
  <c r="N69" i="2"/>
  <c r="AR40" i="2"/>
  <c r="AH40" i="2"/>
  <c r="X40" i="2"/>
  <c r="N40" i="2"/>
  <c r="D40" i="2"/>
  <c r="AS16" i="2"/>
  <c r="AS14" i="2"/>
  <c r="AS12" i="2"/>
  <c r="AS27" i="2" s="1"/>
  <c r="AS10" i="2"/>
  <c r="AS25" i="2" s="1"/>
  <c r="AS9" i="2"/>
  <c r="AS24" i="2" s="1"/>
  <c r="AS11" i="2"/>
  <c r="AS26" i="2" s="1"/>
  <c r="AS13" i="2"/>
  <c r="AS28" i="2" s="1"/>
  <c r="AS15" i="2"/>
  <c r="AS30" i="2" s="1"/>
  <c r="Q71" i="2"/>
  <c r="AK42" i="2"/>
  <c r="AA42" i="2"/>
  <c r="Q42" i="2"/>
  <c r="G42" i="2"/>
  <c r="AF42" i="2"/>
  <c r="V42" i="2"/>
  <c r="L42" i="2"/>
  <c r="AK43" i="2"/>
  <c r="AA43" i="2"/>
  <c r="Q43" i="2"/>
  <c r="G43" i="2"/>
  <c r="Q72" i="2"/>
  <c r="AF43" i="2"/>
  <c r="V43" i="2"/>
  <c r="L43" i="2"/>
  <c r="AM41" i="2"/>
  <c r="AC41" i="2"/>
  <c r="S41" i="2"/>
  <c r="I41" i="2"/>
  <c r="N70" i="2"/>
  <c r="AR41" i="2"/>
  <c r="AH41" i="2"/>
  <c r="X41" i="2"/>
  <c r="N41" i="2"/>
  <c r="D41" i="2"/>
  <c r="AM45" i="2"/>
  <c r="AR39" i="2"/>
  <c r="AH39" i="2"/>
  <c r="X39" i="2"/>
  <c r="N39" i="2"/>
  <c r="D39" i="2"/>
  <c r="AM39" i="2"/>
  <c r="AC39" i="2"/>
  <c r="S39" i="2"/>
  <c r="I39" i="2"/>
  <c r="N68" i="2"/>
  <c r="AA44" i="2"/>
  <c r="AI45" i="2"/>
  <c r="Y45" i="2"/>
  <c r="O45" i="2"/>
  <c r="E45" i="2"/>
  <c r="O74" i="2"/>
  <c r="AD45" i="2"/>
  <c r="T45" i="2"/>
  <c r="J45" i="2"/>
  <c r="N71" i="2"/>
  <c r="AR42" i="2"/>
  <c r="AH42" i="2"/>
  <c r="X42" i="2"/>
  <c r="N42" i="2"/>
  <c r="D42" i="2"/>
  <c r="AM42" i="2"/>
  <c r="AC42" i="2"/>
  <c r="S42" i="2"/>
  <c r="I42" i="2"/>
  <c r="O71" i="2"/>
  <c r="AI42" i="2"/>
  <c r="Y42" i="2"/>
  <c r="O42" i="2"/>
  <c r="E42" i="2"/>
  <c r="AD42" i="2"/>
  <c r="T42" i="2"/>
  <c r="J42" i="2"/>
  <c r="AK45" i="2"/>
  <c r="AA45" i="2"/>
  <c r="Q45" i="2"/>
  <c r="G45" i="2"/>
  <c r="Q74" i="2"/>
  <c r="AF45" i="2"/>
  <c r="V45" i="2"/>
  <c r="L45" i="2"/>
  <c r="AM43" i="2"/>
  <c r="AC43" i="2"/>
  <c r="S43" i="2"/>
  <c r="I43" i="2"/>
  <c r="AR43" i="2"/>
  <c r="AH43" i="2"/>
  <c r="X43" i="2"/>
  <c r="N43" i="2"/>
  <c r="D43" i="2"/>
  <c r="N72" i="2"/>
  <c r="AO39" i="2"/>
  <c r="AE39" i="2"/>
  <c r="U39" i="2"/>
  <c r="K39" i="2"/>
  <c r="P68" i="2"/>
  <c r="AT39" i="2"/>
  <c r="AJ39" i="2"/>
  <c r="Z39" i="2"/>
  <c r="P39" i="2"/>
  <c r="F39" i="2"/>
  <c r="AR46" i="2"/>
  <c r="AH46" i="2"/>
  <c r="X46" i="2"/>
  <c r="N46" i="2"/>
  <c r="D46" i="2"/>
  <c r="N75" i="2"/>
  <c r="AM46" i="2"/>
  <c r="AC46" i="2"/>
  <c r="S46" i="2"/>
  <c r="I46" i="2"/>
  <c r="AF46" i="2"/>
  <c r="AR44" i="2"/>
  <c r="AH44" i="2"/>
  <c r="X44" i="2"/>
  <c r="N44" i="2"/>
  <c r="D44" i="2"/>
  <c r="N73" i="2"/>
  <c r="AM44" i="2"/>
  <c r="AC44" i="2"/>
  <c r="S44" i="2"/>
  <c r="I44" i="2"/>
  <c r="AP9" i="2"/>
  <c r="AP24" i="2" s="1"/>
  <c r="AP15" i="2"/>
  <c r="AP30" i="2" s="1"/>
  <c r="AP13" i="2"/>
  <c r="AP28" i="2" s="1"/>
  <c r="AP11" i="2"/>
  <c r="AP26" i="2" s="1"/>
  <c r="AU23" i="2"/>
  <c r="AP16" i="2"/>
  <c r="AP14" i="2"/>
  <c r="AP12" i="2"/>
  <c r="AP27" i="2" s="1"/>
  <c r="AP10" i="2"/>
  <c r="AP25" i="2" s="1"/>
  <c r="Y44" i="2"/>
  <c r="O69" i="2"/>
  <c r="AI40" i="2"/>
  <c r="Y40" i="2"/>
  <c r="O40" i="2"/>
  <c r="E40" i="2"/>
  <c r="AN40" i="2"/>
  <c r="AD40" i="2"/>
  <c r="T40" i="2"/>
  <c r="J40" i="2"/>
  <c r="AE44" i="2"/>
  <c r="AI44" i="2"/>
  <c r="AD43" i="2"/>
  <c r="T43" i="2"/>
  <c r="J43" i="2"/>
  <c r="AS43" i="2"/>
  <c r="AI43" i="2"/>
  <c r="Y43" i="2"/>
  <c r="O43" i="2"/>
  <c r="E43" i="2"/>
  <c r="O72" i="2"/>
  <c r="AO41" i="2"/>
  <c r="AE41" i="2"/>
  <c r="U41" i="2"/>
  <c r="K41" i="2"/>
  <c r="P70" i="2"/>
  <c r="AT41" i="2"/>
  <c r="AJ41" i="2"/>
  <c r="Z41" i="2"/>
  <c r="P41" i="2"/>
  <c r="F41" i="2"/>
  <c r="AT45" i="2"/>
  <c r="AJ45" i="2"/>
  <c r="Z45" i="2"/>
  <c r="P45" i="2"/>
  <c r="F45" i="2"/>
  <c r="P74" i="2"/>
  <c r="AO45" i="2"/>
  <c r="AE45" i="2"/>
  <c r="U45" i="2"/>
  <c r="K45" i="2"/>
  <c r="AD39" i="2"/>
  <c r="T39" i="2"/>
  <c r="J39" i="2"/>
  <c r="O68" i="2"/>
  <c r="AI39" i="2"/>
  <c r="Y39" i="2"/>
  <c r="O39" i="2"/>
  <c r="E39" i="2"/>
  <c r="AR45" i="2"/>
  <c r="AU41" i="2" l="1"/>
  <c r="AS39" i="2"/>
  <c r="AU42" i="2"/>
  <c r="AU40" i="2"/>
  <c r="AN42" i="2"/>
  <c r="AS42" i="2"/>
  <c r="AN39" i="2"/>
  <c r="AS40" i="2"/>
  <c r="AN43" i="2"/>
  <c r="AU45" i="2"/>
  <c r="AN45" i="2"/>
  <c r="AP45" i="2"/>
  <c r="AP42" i="2"/>
  <c r="AU39" i="2"/>
  <c r="AN31" i="2"/>
  <c r="AN46" i="2"/>
  <c r="AS41" i="2"/>
  <c r="AP40" i="2"/>
  <c r="AN29" i="2"/>
  <c r="AN44" i="2"/>
  <c r="AU29" i="2"/>
  <c r="AU44" i="2"/>
  <c r="AS45" i="2"/>
  <c r="AU43" i="2"/>
  <c r="AU31" i="2"/>
  <c r="AU46" i="2"/>
  <c r="AP41" i="2"/>
  <c r="AP29" i="2"/>
  <c r="AP44" i="2"/>
  <c r="AS29" i="2"/>
  <c r="AS44" i="2"/>
  <c r="AP31" i="2"/>
  <c r="AP46" i="2"/>
  <c r="AP43" i="2"/>
  <c r="AS31" i="2"/>
  <c r="AS46" i="2"/>
  <c r="AP39" i="2"/>
  <c r="AN41" i="2"/>
</calcChain>
</file>

<file path=xl/sharedStrings.xml><?xml version="1.0" encoding="utf-8"?>
<sst xmlns="http://schemas.openxmlformats.org/spreadsheetml/2006/main" count="2002" uniqueCount="202">
  <si>
    <t>Experiment setup</t>
  </si>
  <si>
    <t>NOTE: This worksheet will be filled automatically, first by the Python script and then when the outcome data is imported.</t>
  </si>
  <si>
    <t>Scenarios</t>
  </si>
  <si>
    <t>Lookup indices</t>
  </si>
  <si>
    <t>Outcome variables</t>
  </si>
  <si>
    <t>Dimensions</t>
  </si>
  <si>
    <t>Range</t>
  </si>
  <si>
    <t>Options</t>
  </si>
  <si>
    <t>efFoefEoonbP+grilW+WPoEPBo</t>
  </si>
  <si>
    <t>gebruik waterstof</t>
  </si>
  <si>
    <t>efF</t>
  </si>
  <si>
    <t>efFoefEoonbP+grilW+WPoEPB+</t>
  </si>
  <si>
    <t>waterstof stock</t>
  </si>
  <si>
    <t>efE</t>
  </si>
  <si>
    <t>efFoefEoonbP+grilW+WPoEPB-</t>
  </si>
  <si>
    <t>cashflow WA</t>
  </si>
  <si>
    <t>onbP</t>
  </si>
  <si>
    <t>efFoefEoonbP+grilW+WP+EPBo</t>
  </si>
  <si>
    <t>UB fuel cell elektrolyse</t>
  </si>
  <si>
    <t>grilW</t>
  </si>
  <si>
    <t>efFoefEoonbP+grilW+WP+EPB+</t>
  </si>
  <si>
    <t>date fuel cell efficientie</t>
  </si>
  <si>
    <t>WP</t>
  </si>
  <si>
    <t>efFoefEoonbP+grilW+WP+EPB-</t>
  </si>
  <si>
    <t>UB elek uit waterstof</t>
  </si>
  <si>
    <t>EPB</t>
  </si>
  <si>
    <t>efFoefEoonbP+grilW+WP-EPBo</t>
  </si>
  <si>
    <t>onbalans afnemen prijs</t>
  </si>
  <si>
    <t>SP</t>
  </si>
  <si>
    <t>efFoefEoonbP+grilW+WP-EPB+</t>
  </si>
  <si>
    <t>windstroomprod LB</t>
  </si>
  <si>
    <t>efFoefEoonbP+grilW+WP-EPB-</t>
  </si>
  <si>
    <t>onbalans verkoop</t>
  </si>
  <si>
    <t>efFoefEoonbP+grilW-WPoEPBo</t>
  </si>
  <si>
    <t>leveren aan stroomnet LB</t>
  </si>
  <si>
    <t>efFoefEoonbP+grilW-WPoEPB+</t>
  </si>
  <si>
    <t>onbalans inkoop</t>
  </si>
  <si>
    <t>efFoefEoonbP+grilW-WPoEPB-</t>
  </si>
  <si>
    <t>efFoefEoonbP+grilW-WP+EPBo</t>
  </si>
  <si>
    <t>efFoefEoonbP+grilW-WP+EPB+</t>
  </si>
  <si>
    <t>efFoefEoonbP+grilW-WP+EPB-</t>
  </si>
  <si>
    <t>efFoefEoonbP+grilW-WP-EPBo</t>
  </si>
  <si>
    <t>efFoefEoonbP+grilW-WP-EPB+</t>
  </si>
  <si>
    <t>efFoefEoonbP+grilW-WP-EPB-</t>
  </si>
  <si>
    <t>efFoefEoonbP-grilW+WPoEPBo</t>
  </si>
  <si>
    <t>efFoefEoonbP-grilW+WPoEPB+</t>
  </si>
  <si>
    <t>efFoefEoonbP-grilW+WPoEPB-</t>
  </si>
  <si>
    <t>efFoefEoonbP-grilW+WP+EPBo</t>
  </si>
  <si>
    <t>efFoefEoonbP-grilW+WP+EPB+</t>
  </si>
  <si>
    <t>efFoefEoonbP-grilW+WP+EPB-</t>
  </si>
  <si>
    <t>efFoefEoonbP-grilW+WP-EPBo</t>
  </si>
  <si>
    <t>efFoefEoonbP-grilW+WP-EPB+</t>
  </si>
  <si>
    <t>efFoefEoonbP-grilW+WP-EPB-</t>
  </si>
  <si>
    <t>efFoefEoonbP-grilW-WPoEPBo</t>
  </si>
  <si>
    <t>efFoefEoonbP-grilW-WPoEPB+</t>
  </si>
  <si>
    <t>efFoefEoonbP-grilW-WPoEPB-</t>
  </si>
  <si>
    <t>efFoefEoonbP-grilW-WP+EPBo</t>
  </si>
  <si>
    <t>efFoefEoonbP-grilW-WP+EPB+</t>
  </si>
  <si>
    <t>efFoefEoonbP-grilW-WP+EPB-</t>
  </si>
  <si>
    <t>efFoefEoonbP-grilW-WP-EPBo</t>
  </si>
  <si>
    <t>efFoefEoonbP-grilW-WP-EPB+</t>
  </si>
  <si>
    <t>efFoefEoonbP-grilW-WP-EPB-</t>
  </si>
  <si>
    <t>efFoefE+onbP+grilW+WPoEPBo</t>
  </si>
  <si>
    <t>efFoefE+onbP+grilW+WPoEPB+</t>
  </si>
  <si>
    <t>efFoefE+onbP+grilW+WPoEPB-</t>
  </si>
  <si>
    <t>efFoefE+onbP+grilW+WP+EPBo</t>
  </si>
  <si>
    <t>efFoefE+onbP+grilW+WP+EPB+</t>
  </si>
  <si>
    <t>efFoefE+onbP+grilW+WP+EPB-</t>
  </si>
  <si>
    <t>efFoefE+onbP+grilW+WP-EPBo</t>
  </si>
  <si>
    <t>efFoefE+onbP+grilW+WP-EPB+</t>
  </si>
  <si>
    <t>efFoefE+onbP+grilW+WP-EPB-</t>
  </si>
  <si>
    <t>efFoefE+onbP+grilW-WPoEPBo</t>
  </si>
  <si>
    <t>efFoefE+onbP+grilW-WPoEPB+</t>
  </si>
  <si>
    <t>efFoefE+onbP+grilW-WPoEPB-</t>
  </si>
  <si>
    <t>efFoefE+onbP+grilW-WP+EPBo</t>
  </si>
  <si>
    <t>efFoefE+onbP+grilW-WP+EPB+</t>
  </si>
  <si>
    <t>efFoefE+onbP+grilW-WP+EPB-</t>
  </si>
  <si>
    <t>efFoefE+onbP+grilW-WP-EPBo</t>
  </si>
  <si>
    <t>efFoefE+onbP+grilW-WP-EPB+</t>
  </si>
  <si>
    <t>efFoefE+onbP+grilW-WP-EPB-</t>
  </si>
  <si>
    <t>efFoefE+onbP-grilW+WPoEPBo</t>
  </si>
  <si>
    <t>efFoefE+onbP-grilW+WPoEPB+</t>
  </si>
  <si>
    <t>efFoefE+onbP-grilW+WPoEPB-</t>
  </si>
  <si>
    <t>efFoefE+onbP-grilW+WP+EPBo</t>
  </si>
  <si>
    <t>efFoefE+onbP-grilW+WP+EPB+</t>
  </si>
  <si>
    <t>efFoefE+onbP-grilW+WP+EPB-</t>
  </si>
  <si>
    <t>efFoefE+onbP-grilW+WP-EPBo</t>
  </si>
  <si>
    <t>efFoefE+onbP-grilW+WP-EPB+</t>
  </si>
  <si>
    <t>efFoefE+onbP-grilW+WP-EPB-</t>
  </si>
  <si>
    <t>efFoefE+onbP-grilW-WPoEPBo</t>
  </si>
  <si>
    <t>efFoefE+onbP-grilW-WPoEPB+</t>
  </si>
  <si>
    <t>efFoefE+onbP-grilW-WPoEPB-</t>
  </si>
  <si>
    <t>efFoefE+onbP-grilW-WP+EPBo</t>
  </si>
  <si>
    <t>efFoefE+onbP-grilW-WP+EPB+</t>
  </si>
  <si>
    <t>efFoefE+onbP-grilW-WP+EPB-</t>
  </si>
  <si>
    <t>efFoefE+onbP-grilW-WP-EPBo</t>
  </si>
  <si>
    <t>efFoefE+onbP-grilW-WP-EPB+</t>
  </si>
  <si>
    <t>efFoefE+onbP-grilW-WP-EPB-</t>
  </si>
  <si>
    <t>efF+efEoonbP+grilW+WPoEPBo</t>
  </si>
  <si>
    <t>efF+efEoonbP+grilW+WPoEPB+</t>
  </si>
  <si>
    <t>efF+efEoonbP+grilW+WPoEPB-</t>
  </si>
  <si>
    <t>efF+efEoonbP+grilW+WP+EPBo</t>
  </si>
  <si>
    <t>efF+efEoonbP+grilW+WP+EPB+</t>
  </si>
  <si>
    <t>efF+efEoonbP+grilW+WP+EPB-</t>
  </si>
  <si>
    <t>efF+efEoonbP+grilW+WP-EPBo</t>
  </si>
  <si>
    <t>efF+efEoonbP+grilW+WP-EPB+</t>
  </si>
  <si>
    <t>efF+efEoonbP+grilW+WP-EPB-</t>
  </si>
  <si>
    <t>efF+efEoonbP+grilW-WPoEPBo</t>
  </si>
  <si>
    <t>efF+efEoonbP+grilW-WPoEPB+</t>
  </si>
  <si>
    <t>efF+efEoonbP+grilW-WPoEPB-</t>
  </si>
  <si>
    <t>efF+efEoonbP+grilW-WP+EPBo</t>
  </si>
  <si>
    <t>efF+efEoonbP+grilW-WP+EPB+</t>
  </si>
  <si>
    <t>efF+efEoonbP+grilW-WP+EPB-</t>
  </si>
  <si>
    <t>efF+efEoonbP+grilW-WP-EPBo</t>
  </si>
  <si>
    <t>efF+efEoonbP+grilW-WP-EPB+</t>
  </si>
  <si>
    <t>efF+efEoonbP+grilW-WP-EPB-</t>
  </si>
  <si>
    <t>efF+efEoonbP-grilW+WPoEPBo</t>
  </si>
  <si>
    <t>efF+efEoonbP-grilW+WPoEPB+</t>
  </si>
  <si>
    <t>efF+efEoonbP-grilW+WPoEPB-</t>
  </si>
  <si>
    <t>efF+efEoonbP-grilW+WP+EPBo</t>
  </si>
  <si>
    <t>efF+efEoonbP-grilW+WP+EPB+</t>
  </si>
  <si>
    <t>efF+efEoonbP-grilW+WP+EPB-</t>
  </si>
  <si>
    <t>efF+efEoonbP-grilW+WP-EPBo</t>
  </si>
  <si>
    <t>efF+efEoonbP-grilW+WP-EPB+</t>
  </si>
  <si>
    <t>efF+efEoonbP-grilW+WP-EPB-</t>
  </si>
  <si>
    <t>efF+efEoonbP-grilW-WPoEPBo</t>
  </si>
  <si>
    <t>efF+efEoonbP-grilW-WPoEPB+</t>
  </si>
  <si>
    <t>efF+efEoonbP-grilW-WPoEPB-</t>
  </si>
  <si>
    <t>efF+efEoonbP-grilW-WP+EPBo</t>
  </si>
  <si>
    <t>efF+efEoonbP-grilW-WP+EPB+</t>
  </si>
  <si>
    <t>efF+efEoonbP-grilW-WP+EPB-</t>
  </si>
  <si>
    <t>efF+efEoonbP-grilW-WP-EPBo</t>
  </si>
  <si>
    <t>efF+efEoonbP-grilW-WP-EPB+</t>
  </si>
  <si>
    <t>efF+efEoonbP-grilW-WP-EPB-</t>
  </si>
  <si>
    <t>efF+efE+onbP+grilW+WPoEPBo</t>
  </si>
  <si>
    <t>efF+efE+onbP+grilW+WPoEPB+</t>
  </si>
  <si>
    <t>efF+efE+onbP+grilW+WPoEPB-</t>
  </si>
  <si>
    <t>efF+efE+onbP+grilW+WP+EPBo</t>
  </si>
  <si>
    <t>efF+efE+onbP+grilW+WP+EPB+</t>
  </si>
  <si>
    <t>efF+efE+onbP+grilW+WP+EPB-</t>
  </si>
  <si>
    <t>efF+efE+onbP+grilW+WP-EPBo</t>
  </si>
  <si>
    <t>efF+efE+onbP+grilW+WP-EPB+</t>
  </si>
  <si>
    <t>efF+efE+onbP+grilW+WP-EPB-</t>
  </si>
  <si>
    <t>efF+efE+onbP+grilW-WPoEPBo</t>
  </si>
  <si>
    <t>efF+efE+onbP+grilW-WPoEPB+</t>
  </si>
  <si>
    <t>efF+efE+onbP+grilW-WPoEPB-</t>
  </si>
  <si>
    <t>efF+efE+onbP+grilW-WP+EPBo</t>
  </si>
  <si>
    <t>efF+efE+onbP+grilW-WP+EPB+</t>
  </si>
  <si>
    <t>efF+efE+onbP+grilW-WP+EPB-</t>
  </si>
  <si>
    <t>efF+efE+onbP+grilW-WP-EPBo</t>
  </si>
  <si>
    <t>efF+efE+onbP+grilW-WP-EPB+</t>
  </si>
  <si>
    <t>efF+efE+onbP+grilW-WP-EPB-</t>
  </si>
  <si>
    <t>efF+efE+onbP-grilW+WPoEPBo</t>
  </si>
  <si>
    <t>efF+efE+onbP-grilW+WPoEPB+</t>
  </si>
  <si>
    <t>efF+efE+onbP-grilW+WPoEPB-</t>
  </si>
  <si>
    <t>efF+efE+onbP-grilW+WP+EPBo</t>
  </si>
  <si>
    <t>efF+efE+onbP-grilW+WP+EPB+</t>
  </si>
  <si>
    <t>efF+efE+onbP-grilW+WP+EPB-</t>
  </si>
  <si>
    <t>efF+efE+onbP-grilW+WP-EPBo</t>
  </si>
  <si>
    <t>efF+efE+onbP-grilW+WP-EPB+</t>
  </si>
  <si>
    <t>efF+efE+onbP-grilW+WP-EPB-</t>
  </si>
  <si>
    <t>efF+efE+onbP-grilW-WPoEPBo</t>
  </si>
  <si>
    <t>efF+efE+onbP-grilW-WPoEPB+</t>
  </si>
  <si>
    <t>efF+efE+onbP-grilW-WPoEPB-</t>
  </si>
  <si>
    <t>efF+efE+onbP-grilW-WP+EPBo</t>
  </si>
  <si>
    <t>efF+efE+onbP-grilW-WP+EPB+</t>
  </si>
  <si>
    <t>efF+efE+onbP-grilW-WP+EPB-</t>
  </si>
  <si>
    <t>efF+efE+onbP-grilW-WP-EPBo</t>
  </si>
  <si>
    <t>efF+efE+onbP-grilW-WP-EPB+</t>
  </si>
  <si>
    <t>efF+efE+onbP-grilW-WP-EPB-</t>
  </si>
  <si>
    <t>Comparison of options in all scenarios</t>
  </si>
  <si>
    <t>Statistic:</t>
  </si>
  <si>
    <t>Outcome:</t>
  </si>
  <si>
    <t>WPo</t>
  </si>
  <si>
    <t>EPBo</t>
  </si>
  <si>
    <t>EPB+</t>
  </si>
  <si>
    <t>EPB-</t>
  </si>
  <si>
    <t>WP+</t>
  </si>
  <si>
    <t>WP-</t>
  </si>
  <si>
    <t>onbP+</t>
  </si>
  <si>
    <t>onbP-</t>
  </si>
  <si>
    <t>binair!</t>
  </si>
  <si>
    <t>grilW+</t>
  </si>
  <si>
    <t>grilW-</t>
  </si>
  <si>
    <t>efF+</t>
  </si>
  <si>
    <t>efE+</t>
  </si>
  <si>
    <t>efEo</t>
  </si>
  <si>
    <t>efFo</t>
  </si>
  <si>
    <t>Reference:</t>
  </si>
  <si>
    <t>Wpo</t>
  </si>
  <si>
    <t>DAP-</t>
  </si>
  <si>
    <t>DAP+</t>
  </si>
  <si>
    <t>Regret</t>
  </si>
  <si>
    <t>Highest value in scenario</t>
  </si>
  <si>
    <t>Lowest value in scenario</t>
  </si>
  <si>
    <t>MIN</t>
  </si>
  <si>
    <t>MAX</t>
  </si>
  <si>
    <t>AVG</t>
  </si>
  <si>
    <t>SD</t>
  </si>
  <si>
    <t>#&gt;0</t>
  </si>
  <si>
    <t>Scenario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</si>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</sst>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1" fillId="2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1" fontId="0" fillId="0" borderId="9" xfId="0" applyNumberFormat="1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7" xfId="0" applyNumberFormat="1" applyBorder="1"/>
    <xf numFmtId="0" fontId="0" fillId="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0" borderId="0" xfId="0" applyFont="1"/>
    <xf numFmtId="0" fontId="6" fillId="0" borderId="0" xfId="0" applyFont="1"/>
    <xf numFmtId="0" fontId="1" fillId="8" borderId="0" xfId="0" applyFont="1" applyFill="1"/>
    <xf numFmtId="0" fontId="3" fillId="8" borderId="0" xfId="0" applyFont="1" applyFill="1"/>
    <xf numFmtId="0" fontId="0" fillId="0" borderId="0" xfId="0"/>
    <xf numFmtId="0" fontId="1" fillId="9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8" xfId="0" applyBorder="1"/>
    <xf numFmtId="0" fontId="0" fillId="0" borderId="0" xfId="0"/>
    <xf numFmtId="0" fontId="3" fillId="0" borderId="6" xfId="0" applyFont="1" applyBorder="1" applyAlignment="1">
      <alignment horizontal="center"/>
    </xf>
    <xf numFmtId="0" fontId="0" fillId="0" borderId="6" xfId="0" applyBorder="1"/>
    <xf numFmtId="0" fontId="0" fillId="6" borderId="10" xfId="0" applyFill="1" applyBorder="1" applyAlignment="1">
      <alignment horizontal="center" vertical="center"/>
    </xf>
    <xf numFmtId="0" fontId="0" fillId="0" borderId="3" xfId="0" applyBorder="1"/>
    <xf numFmtId="0" fontId="0" fillId="0" borderId="5" xfId="0" applyBorder="1"/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fmlaLink="$C$5" fmlaRange="Setup!$C$8:$C$22" noThreeD="1" sel="6" val="3"/>
</file>

<file path=xl/ctrlProps/ctrlProp3.xml><?xml version="1.0" encoding="utf-8"?>
<formControlPr xmlns="http://schemas.microsoft.com/office/spreadsheetml/2009/9/main" objectType="Drop" dropStyle="combo" dx="26" fmlaLink="$C$3" fmlaRange="Data!$A$3:$A$7" noThreeD="1" sel="3" val="0"/>
</file>

<file path=xl/ctrlProps/ctrlProp4.xml><?xml version="1.0" encoding="utf-8"?>
<formControlPr xmlns="http://schemas.microsoft.com/office/spreadsheetml/2009/9/main" objectType="Drop" dropStyle="combo" dx="26" fmlaLink="$C$19" fmlaRange="$I$51:$I$5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998220</xdr:colOff>
          <xdr:row>3</xdr:row>
          <xdr:rowOff>15240</xdr:rowOff>
        </xdr:from>
        <xdr:to>
          <xdr:col>3</xdr:col>
          <xdr:colOff>7620</xdr:colOff>
          <xdr:row>4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187467B-3A53-D3D1-8670-0ABD07F6A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outcome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</xdr:row>
          <xdr:rowOff>137160</xdr:rowOff>
        </xdr:from>
        <xdr:to>
          <xdr:col>3</xdr:col>
          <xdr:colOff>388620</xdr:colOff>
          <xdr:row>5</xdr:row>
          <xdr:rowOff>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18FFE8F4-B090-D665-5455-3F3C54758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2</xdr:row>
          <xdr:rowOff>7620</xdr:rowOff>
        </xdr:from>
        <xdr:to>
          <xdr:col>3</xdr:col>
          <xdr:colOff>15240</xdr:colOff>
          <xdr:row>3</xdr:row>
          <xdr:rowOff>22860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1780C0BF-E24D-CA31-B3FA-22D691A4C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7620</xdr:rowOff>
        </xdr:from>
        <xdr:to>
          <xdr:col>3</xdr:col>
          <xdr:colOff>7620</xdr:colOff>
          <xdr:row>19</xdr:row>
          <xdr:rowOff>15240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3895B01D-ACDD-C84D-DB75-D0169A1EF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51"/>
  <sheetViews>
    <sheetView workbookViewId="0">
      <selection activeCell="C6" sqref="C6"/>
    </sheetView>
  </sheetViews>
  <sheetFormatPr defaultRowHeight="14.4" x14ac:dyDescent="0.3"/>
  <cols>
    <col min="1" max="1" width="23.6640625" style="25" customWidth="1"/>
    <col min="2" max="2" width="17.88671875" style="25" bestFit="1" customWidth="1"/>
    <col min="3" max="3" width="17.5546875" style="25" bestFit="1" customWidth="1"/>
    <col min="4" max="4" width="11.33203125" style="25" bestFit="1" customWidth="1"/>
    <col min="5" max="5" width="6.88671875" style="25" bestFit="1" customWidth="1"/>
    <col min="6" max="15" width="3.5546875" style="25" customWidth="1"/>
  </cols>
  <sheetData>
    <row r="1" spans="1:8" ht="18.600000000000001" customHeight="1" x14ac:dyDescent="0.35">
      <c r="A1" s="1" t="s">
        <v>0</v>
      </c>
    </row>
    <row r="2" spans="1:8" x14ac:dyDescent="0.3">
      <c r="A2" s="3" t="s">
        <v>1</v>
      </c>
    </row>
    <row r="3" spans="1:8" x14ac:dyDescent="0.3">
      <c r="A3" s="2">
        <v>6</v>
      </c>
      <c r="B3" t="str">
        <f>"dimension"&amp;IF(A3=1,"","s")</f>
        <v>dimensions</v>
      </c>
    </row>
    <row r="4" spans="1:8" x14ac:dyDescent="0.3">
      <c r="A4" s="2">
        <v>144</v>
      </c>
      <c r="B4" t="str">
        <f>"scenario"&amp;IF(A4=1,"","s")</f>
        <v>scenarios</v>
      </c>
    </row>
    <row r="5" spans="1:8" x14ac:dyDescent="0.3">
      <c r="A5" s="2">
        <v>11</v>
      </c>
      <c r="B5" t="str">
        <f>"outcome variable"&amp;IF(A5=1,"","s")</f>
        <v>outcome variables</v>
      </c>
    </row>
    <row r="7" spans="1:8" x14ac:dyDescent="0.3">
      <c r="A7" s="21" t="s">
        <v>2</v>
      </c>
      <c r="B7" s="21" t="s">
        <v>3</v>
      </c>
      <c r="C7" s="21" t="s">
        <v>4</v>
      </c>
      <c r="D7" s="21" t="s">
        <v>5</v>
      </c>
      <c r="E7" s="21" t="s">
        <v>6</v>
      </c>
      <c r="F7" s="21" t="s">
        <v>7</v>
      </c>
    </row>
    <row r="8" spans="1:8" x14ac:dyDescent="0.3">
      <c r="A8" t="s">
        <v>8</v>
      </c>
      <c r="B8">
        <v>0</v>
      </c>
      <c r="C8" t="s">
        <v>9</v>
      </c>
      <c r="D8" t="s">
        <v>10</v>
      </c>
      <c r="E8" s="5">
        <v>2</v>
      </c>
      <c r="F8" s="6" t="str">
        <f>"o"</f>
        <v>o</v>
      </c>
      <c r="G8" s="6" t="str">
        <f>"+"</f>
        <v>+</v>
      </c>
      <c r="H8" s="6" t="str">
        <f>"-"</f>
        <v>-</v>
      </c>
    </row>
    <row r="9" spans="1:8" x14ac:dyDescent="0.3">
      <c r="A9" t="s">
        <v>11</v>
      </c>
      <c r="B9">
        <v>1</v>
      </c>
      <c r="C9" t="s">
        <v>12</v>
      </c>
      <c r="D9" t="s">
        <v>13</v>
      </c>
      <c r="E9" s="6">
        <v>2</v>
      </c>
      <c r="F9" s="6" t="str">
        <f>"o"</f>
        <v>o</v>
      </c>
      <c r="G9" s="6" t="str">
        <f>"+"</f>
        <v>+</v>
      </c>
      <c r="H9" s="6" t="str">
        <f>"-"</f>
        <v>-</v>
      </c>
    </row>
    <row r="10" spans="1:8" x14ac:dyDescent="0.3">
      <c r="A10" t="s">
        <v>14</v>
      </c>
      <c r="B10">
        <v>2</v>
      </c>
      <c r="C10" t="s">
        <v>15</v>
      </c>
      <c r="D10" t="s">
        <v>16</v>
      </c>
      <c r="E10" s="6">
        <v>2</v>
      </c>
      <c r="F10" s="6" t="str">
        <f>"+"</f>
        <v>+</v>
      </c>
      <c r="G10" s="6" t="str">
        <f>"-"</f>
        <v>-</v>
      </c>
      <c r="H10" s="6"/>
    </row>
    <row r="11" spans="1:8" x14ac:dyDescent="0.3">
      <c r="A11" t="s">
        <v>17</v>
      </c>
      <c r="B11">
        <v>3</v>
      </c>
      <c r="C11" t="s">
        <v>18</v>
      </c>
      <c r="D11" t="s">
        <v>19</v>
      </c>
      <c r="E11" s="6">
        <v>2</v>
      </c>
      <c r="F11" s="6" t="str">
        <f>"+"</f>
        <v>+</v>
      </c>
      <c r="G11" s="6" t="str">
        <f>"-"</f>
        <v>-</v>
      </c>
      <c r="H11" s="6"/>
    </row>
    <row r="12" spans="1:8" x14ac:dyDescent="0.3">
      <c r="A12" t="s">
        <v>20</v>
      </c>
      <c r="B12">
        <v>4</v>
      </c>
      <c r="C12" t="s">
        <v>21</v>
      </c>
      <c r="D12" t="s">
        <v>22</v>
      </c>
      <c r="E12" s="6">
        <v>3</v>
      </c>
      <c r="F12" s="6" t="str">
        <f>"o"</f>
        <v>o</v>
      </c>
      <c r="G12" s="6" t="str">
        <f>"+"</f>
        <v>+</v>
      </c>
      <c r="H12" t="str">
        <f>"-"</f>
        <v>-</v>
      </c>
    </row>
    <row r="13" spans="1:8" x14ac:dyDescent="0.3">
      <c r="A13" t="s">
        <v>23</v>
      </c>
      <c r="B13">
        <v>5</v>
      </c>
      <c r="C13" t="s">
        <v>24</v>
      </c>
      <c r="D13" t="s">
        <v>25</v>
      </c>
      <c r="E13" s="6">
        <v>3</v>
      </c>
      <c r="F13" s="6" t="str">
        <f>"o"</f>
        <v>o</v>
      </c>
      <c r="G13" s="6" t="str">
        <f>"+"</f>
        <v>+</v>
      </c>
      <c r="H13" t="str">
        <f>"-"</f>
        <v>-</v>
      </c>
    </row>
    <row r="14" spans="1:8" x14ac:dyDescent="0.3">
      <c r="A14" t="s">
        <v>26</v>
      </c>
      <c r="B14">
        <v>6</v>
      </c>
      <c r="C14" t="s">
        <v>27</v>
      </c>
      <c r="D14" t="s">
        <v>28</v>
      </c>
      <c r="E14" s="6">
        <v>2</v>
      </c>
      <c r="F14" s="6" t="str">
        <f>"o"</f>
        <v>o</v>
      </c>
      <c r="G14" s="6" t="str">
        <f>"+"</f>
        <v>+</v>
      </c>
    </row>
    <row r="15" spans="1:8" x14ac:dyDescent="0.3">
      <c r="A15" t="s">
        <v>29</v>
      </c>
      <c r="B15">
        <v>7</v>
      </c>
      <c r="C15" t="s">
        <v>30</v>
      </c>
    </row>
    <row r="16" spans="1:8" x14ac:dyDescent="0.3">
      <c r="A16" t="s">
        <v>31</v>
      </c>
      <c r="B16">
        <v>8</v>
      </c>
      <c r="C16" t="s">
        <v>32</v>
      </c>
    </row>
    <row r="17" spans="1:3" x14ac:dyDescent="0.3">
      <c r="A17" t="s">
        <v>33</v>
      </c>
      <c r="B17">
        <v>9</v>
      </c>
      <c r="C17" t="s">
        <v>34</v>
      </c>
    </row>
    <row r="18" spans="1:3" x14ac:dyDescent="0.3">
      <c r="A18" t="s">
        <v>35</v>
      </c>
      <c r="B18">
        <v>10</v>
      </c>
      <c r="C18" t="s">
        <v>36</v>
      </c>
    </row>
    <row r="19" spans="1:3" x14ac:dyDescent="0.3">
      <c r="A19" t="s">
        <v>37</v>
      </c>
      <c r="B19">
        <v>11</v>
      </c>
    </row>
    <row r="20" spans="1:3" x14ac:dyDescent="0.3">
      <c r="A20" t="s">
        <v>38</v>
      </c>
      <c r="B20">
        <v>12</v>
      </c>
    </row>
    <row r="21" spans="1:3" x14ac:dyDescent="0.3">
      <c r="A21" t="s">
        <v>39</v>
      </c>
      <c r="B21">
        <v>13</v>
      </c>
    </row>
    <row r="22" spans="1:3" x14ac:dyDescent="0.3">
      <c r="A22" t="s">
        <v>40</v>
      </c>
      <c r="B22">
        <v>14</v>
      </c>
    </row>
    <row r="23" spans="1:3" x14ac:dyDescent="0.3">
      <c r="A23" t="s">
        <v>41</v>
      </c>
      <c r="B23">
        <v>15</v>
      </c>
    </row>
    <row r="24" spans="1:3" x14ac:dyDescent="0.3">
      <c r="A24" t="s">
        <v>42</v>
      </c>
      <c r="B24">
        <v>16</v>
      </c>
    </row>
    <row r="25" spans="1:3" x14ac:dyDescent="0.3">
      <c r="A25" t="s">
        <v>43</v>
      </c>
      <c r="B25">
        <v>17</v>
      </c>
    </row>
    <row r="26" spans="1:3" x14ac:dyDescent="0.3">
      <c r="A26" t="s">
        <v>44</v>
      </c>
      <c r="B26">
        <v>18</v>
      </c>
    </row>
    <row r="27" spans="1:3" x14ac:dyDescent="0.3">
      <c r="A27" t="s">
        <v>45</v>
      </c>
      <c r="B27">
        <v>19</v>
      </c>
    </row>
    <row r="28" spans="1:3" x14ac:dyDescent="0.3">
      <c r="A28" t="s">
        <v>46</v>
      </c>
      <c r="B28">
        <v>20</v>
      </c>
    </row>
    <row r="29" spans="1:3" x14ac:dyDescent="0.3">
      <c r="A29" t="s">
        <v>47</v>
      </c>
      <c r="B29">
        <v>21</v>
      </c>
    </row>
    <row r="30" spans="1:3" x14ac:dyDescent="0.3">
      <c r="A30" t="s">
        <v>48</v>
      </c>
      <c r="B30">
        <v>22</v>
      </c>
    </row>
    <row r="31" spans="1:3" x14ac:dyDescent="0.3">
      <c r="A31" t="s">
        <v>49</v>
      </c>
      <c r="B31">
        <v>23</v>
      </c>
    </row>
    <row r="32" spans="1:3" x14ac:dyDescent="0.3">
      <c r="A32" t="s">
        <v>50</v>
      </c>
      <c r="B32">
        <v>24</v>
      </c>
    </row>
    <row r="33" spans="1:2" x14ac:dyDescent="0.3">
      <c r="A33" t="s">
        <v>51</v>
      </c>
      <c r="B33">
        <v>25</v>
      </c>
    </row>
    <row r="34" spans="1:2" x14ac:dyDescent="0.3">
      <c r="A34" t="s">
        <v>52</v>
      </c>
      <c r="B34">
        <v>26</v>
      </c>
    </row>
    <row r="35" spans="1:2" x14ac:dyDescent="0.3">
      <c r="A35" t="s">
        <v>53</v>
      </c>
      <c r="B35">
        <v>27</v>
      </c>
    </row>
    <row r="36" spans="1:2" x14ac:dyDescent="0.3">
      <c r="A36" t="s">
        <v>54</v>
      </c>
      <c r="B36">
        <v>28</v>
      </c>
    </row>
    <row r="37" spans="1:2" x14ac:dyDescent="0.3">
      <c r="A37" t="s">
        <v>55</v>
      </c>
      <c r="B37">
        <v>29</v>
      </c>
    </row>
    <row r="38" spans="1:2" x14ac:dyDescent="0.3">
      <c r="A38" t="s">
        <v>56</v>
      </c>
      <c r="B38">
        <v>30</v>
      </c>
    </row>
    <row r="39" spans="1:2" x14ac:dyDescent="0.3">
      <c r="A39" t="s">
        <v>57</v>
      </c>
      <c r="B39">
        <v>31</v>
      </c>
    </row>
    <row r="40" spans="1:2" x14ac:dyDescent="0.3">
      <c r="A40" t="s">
        <v>58</v>
      </c>
      <c r="B40">
        <v>32</v>
      </c>
    </row>
    <row r="41" spans="1:2" x14ac:dyDescent="0.3">
      <c r="A41" t="s">
        <v>59</v>
      </c>
      <c r="B41">
        <v>33</v>
      </c>
    </row>
    <row r="42" spans="1:2" x14ac:dyDescent="0.3">
      <c r="A42" t="s">
        <v>60</v>
      </c>
      <c r="B42">
        <v>34</v>
      </c>
    </row>
    <row r="43" spans="1:2" x14ac:dyDescent="0.3">
      <c r="A43" t="s">
        <v>61</v>
      </c>
      <c r="B43">
        <v>35</v>
      </c>
    </row>
    <row r="44" spans="1:2" x14ac:dyDescent="0.3">
      <c r="A44" t="s">
        <v>62</v>
      </c>
      <c r="B44">
        <v>36</v>
      </c>
    </row>
    <row r="45" spans="1:2" x14ac:dyDescent="0.3">
      <c r="A45" t="s">
        <v>63</v>
      </c>
      <c r="B45">
        <v>37</v>
      </c>
    </row>
    <row r="46" spans="1:2" x14ac:dyDescent="0.3">
      <c r="A46" t="s">
        <v>64</v>
      </c>
      <c r="B46">
        <v>38</v>
      </c>
    </row>
    <row r="47" spans="1:2" x14ac:dyDescent="0.3">
      <c r="A47" t="s">
        <v>65</v>
      </c>
      <c r="B47">
        <v>39</v>
      </c>
    </row>
    <row r="48" spans="1:2" x14ac:dyDescent="0.3">
      <c r="A48" t="s">
        <v>66</v>
      </c>
      <c r="B48">
        <v>40</v>
      </c>
    </row>
    <row r="49" spans="1:2" x14ac:dyDescent="0.3">
      <c r="A49" t="s">
        <v>67</v>
      </c>
      <c r="B49">
        <v>41</v>
      </c>
    </row>
    <row r="50" spans="1:2" x14ac:dyDescent="0.3">
      <c r="A50" t="s">
        <v>68</v>
      </c>
      <c r="B50">
        <v>42</v>
      </c>
    </row>
    <row r="51" spans="1:2" x14ac:dyDescent="0.3">
      <c r="A51" t="s">
        <v>69</v>
      </c>
      <c r="B51">
        <v>43</v>
      </c>
    </row>
    <row r="52" spans="1:2" x14ac:dyDescent="0.3">
      <c r="A52" t="s">
        <v>70</v>
      </c>
      <c r="B52">
        <v>44</v>
      </c>
    </row>
    <row r="53" spans="1:2" x14ac:dyDescent="0.3">
      <c r="A53" t="s">
        <v>71</v>
      </c>
      <c r="B53">
        <v>45</v>
      </c>
    </row>
    <row r="54" spans="1:2" x14ac:dyDescent="0.3">
      <c r="A54" t="s">
        <v>72</v>
      </c>
      <c r="B54">
        <v>46</v>
      </c>
    </row>
    <row r="55" spans="1:2" x14ac:dyDescent="0.3">
      <c r="A55" t="s">
        <v>73</v>
      </c>
      <c r="B55">
        <v>47</v>
      </c>
    </row>
    <row r="56" spans="1:2" x14ac:dyDescent="0.3">
      <c r="A56" t="s">
        <v>74</v>
      </c>
      <c r="B56">
        <v>48</v>
      </c>
    </row>
    <row r="57" spans="1:2" x14ac:dyDescent="0.3">
      <c r="A57" t="s">
        <v>75</v>
      </c>
      <c r="B57">
        <v>49</v>
      </c>
    </row>
    <row r="58" spans="1:2" x14ac:dyDescent="0.3">
      <c r="A58" t="s">
        <v>76</v>
      </c>
      <c r="B58">
        <v>50</v>
      </c>
    </row>
    <row r="59" spans="1:2" x14ac:dyDescent="0.3">
      <c r="A59" t="s">
        <v>77</v>
      </c>
      <c r="B59">
        <v>51</v>
      </c>
    </row>
    <row r="60" spans="1:2" x14ac:dyDescent="0.3">
      <c r="A60" t="s">
        <v>78</v>
      </c>
      <c r="B60">
        <v>52</v>
      </c>
    </row>
    <row r="61" spans="1:2" x14ac:dyDescent="0.3">
      <c r="A61" t="s">
        <v>79</v>
      </c>
      <c r="B61">
        <v>53</v>
      </c>
    </row>
    <row r="62" spans="1:2" x14ac:dyDescent="0.3">
      <c r="A62" t="s">
        <v>80</v>
      </c>
      <c r="B62">
        <v>54</v>
      </c>
    </row>
    <row r="63" spans="1:2" x14ac:dyDescent="0.3">
      <c r="A63" t="s">
        <v>81</v>
      </c>
      <c r="B63">
        <v>55</v>
      </c>
    </row>
    <row r="64" spans="1:2" x14ac:dyDescent="0.3">
      <c r="A64" t="s">
        <v>82</v>
      </c>
      <c r="B64">
        <v>56</v>
      </c>
    </row>
    <row r="65" spans="1:2" x14ac:dyDescent="0.3">
      <c r="A65" t="s">
        <v>83</v>
      </c>
      <c r="B65">
        <v>57</v>
      </c>
    </row>
    <row r="66" spans="1:2" x14ac:dyDescent="0.3">
      <c r="A66" t="s">
        <v>84</v>
      </c>
      <c r="B66">
        <v>58</v>
      </c>
    </row>
    <row r="67" spans="1:2" x14ac:dyDescent="0.3">
      <c r="A67" t="s">
        <v>85</v>
      </c>
      <c r="B67">
        <v>59</v>
      </c>
    </row>
    <row r="68" spans="1:2" x14ac:dyDescent="0.3">
      <c r="A68" t="s">
        <v>86</v>
      </c>
      <c r="B68">
        <v>60</v>
      </c>
    </row>
    <row r="69" spans="1:2" x14ac:dyDescent="0.3">
      <c r="A69" t="s">
        <v>87</v>
      </c>
      <c r="B69">
        <v>61</v>
      </c>
    </row>
    <row r="70" spans="1:2" x14ac:dyDescent="0.3">
      <c r="A70" t="s">
        <v>88</v>
      </c>
      <c r="B70">
        <v>62</v>
      </c>
    </row>
    <row r="71" spans="1:2" x14ac:dyDescent="0.3">
      <c r="A71" t="s">
        <v>89</v>
      </c>
      <c r="B71">
        <v>63</v>
      </c>
    </row>
    <row r="72" spans="1:2" x14ac:dyDescent="0.3">
      <c r="A72" t="s">
        <v>90</v>
      </c>
      <c r="B72">
        <v>64</v>
      </c>
    </row>
    <row r="73" spans="1:2" x14ac:dyDescent="0.3">
      <c r="A73" t="s">
        <v>91</v>
      </c>
      <c r="B73">
        <v>65</v>
      </c>
    </row>
    <row r="74" spans="1:2" x14ac:dyDescent="0.3">
      <c r="A74" t="s">
        <v>92</v>
      </c>
      <c r="B74">
        <v>66</v>
      </c>
    </row>
    <row r="75" spans="1:2" x14ac:dyDescent="0.3">
      <c r="A75" t="s">
        <v>93</v>
      </c>
      <c r="B75">
        <v>67</v>
      </c>
    </row>
    <row r="76" spans="1:2" x14ac:dyDescent="0.3">
      <c r="A76" t="s">
        <v>94</v>
      </c>
      <c r="B76">
        <v>68</v>
      </c>
    </row>
    <row r="77" spans="1:2" x14ac:dyDescent="0.3">
      <c r="A77" t="s">
        <v>95</v>
      </c>
      <c r="B77">
        <v>69</v>
      </c>
    </row>
    <row r="78" spans="1:2" x14ac:dyDescent="0.3">
      <c r="A78" t="s">
        <v>96</v>
      </c>
      <c r="B78">
        <v>70</v>
      </c>
    </row>
    <row r="79" spans="1:2" x14ac:dyDescent="0.3">
      <c r="A79" t="s">
        <v>97</v>
      </c>
      <c r="B79">
        <v>71</v>
      </c>
    </row>
    <row r="80" spans="1:2" x14ac:dyDescent="0.3">
      <c r="A80" t="s">
        <v>98</v>
      </c>
      <c r="B80">
        <v>72</v>
      </c>
    </row>
    <row r="81" spans="1:2" x14ac:dyDescent="0.3">
      <c r="A81" t="s">
        <v>99</v>
      </c>
      <c r="B81">
        <v>73</v>
      </c>
    </row>
    <row r="82" spans="1:2" x14ac:dyDescent="0.3">
      <c r="A82" t="s">
        <v>100</v>
      </c>
      <c r="B82">
        <v>74</v>
      </c>
    </row>
    <row r="83" spans="1:2" x14ac:dyDescent="0.3">
      <c r="A83" t="s">
        <v>101</v>
      </c>
      <c r="B83">
        <v>75</v>
      </c>
    </row>
    <row r="84" spans="1:2" x14ac:dyDescent="0.3">
      <c r="A84" t="s">
        <v>102</v>
      </c>
      <c r="B84">
        <v>76</v>
      </c>
    </row>
    <row r="85" spans="1:2" x14ac:dyDescent="0.3">
      <c r="A85" t="s">
        <v>103</v>
      </c>
      <c r="B85">
        <v>77</v>
      </c>
    </row>
    <row r="86" spans="1:2" x14ac:dyDescent="0.3">
      <c r="A86" t="s">
        <v>104</v>
      </c>
      <c r="B86">
        <v>78</v>
      </c>
    </row>
    <row r="87" spans="1:2" x14ac:dyDescent="0.3">
      <c r="A87" t="s">
        <v>105</v>
      </c>
      <c r="B87">
        <v>79</v>
      </c>
    </row>
    <row r="88" spans="1:2" x14ac:dyDescent="0.3">
      <c r="A88" t="s">
        <v>106</v>
      </c>
      <c r="B88">
        <v>80</v>
      </c>
    </row>
    <row r="89" spans="1:2" x14ac:dyDescent="0.3">
      <c r="A89" t="s">
        <v>107</v>
      </c>
      <c r="B89">
        <v>81</v>
      </c>
    </row>
    <row r="90" spans="1:2" x14ac:dyDescent="0.3">
      <c r="A90" t="s">
        <v>108</v>
      </c>
      <c r="B90">
        <v>82</v>
      </c>
    </row>
    <row r="91" spans="1:2" x14ac:dyDescent="0.3">
      <c r="A91" t="s">
        <v>109</v>
      </c>
      <c r="B91">
        <v>83</v>
      </c>
    </row>
    <row r="92" spans="1:2" x14ac:dyDescent="0.3">
      <c r="A92" t="s">
        <v>110</v>
      </c>
      <c r="B92">
        <v>84</v>
      </c>
    </row>
    <row r="93" spans="1:2" x14ac:dyDescent="0.3">
      <c r="A93" t="s">
        <v>111</v>
      </c>
      <c r="B93">
        <v>85</v>
      </c>
    </row>
    <row r="94" spans="1:2" x14ac:dyDescent="0.3">
      <c r="A94" t="s">
        <v>112</v>
      </c>
      <c r="B94">
        <v>86</v>
      </c>
    </row>
    <row r="95" spans="1:2" x14ac:dyDescent="0.3">
      <c r="A95" t="s">
        <v>113</v>
      </c>
      <c r="B95">
        <v>87</v>
      </c>
    </row>
    <row r="96" spans="1:2" x14ac:dyDescent="0.3">
      <c r="A96" t="s">
        <v>114</v>
      </c>
      <c r="B96">
        <v>88</v>
      </c>
    </row>
    <row r="97" spans="1:2" x14ac:dyDescent="0.3">
      <c r="A97" t="s">
        <v>115</v>
      </c>
      <c r="B97">
        <v>89</v>
      </c>
    </row>
    <row r="98" spans="1:2" x14ac:dyDescent="0.3">
      <c r="A98" t="s">
        <v>116</v>
      </c>
      <c r="B98">
        <v>90</v>
      </c>
    </row>
    <row r="99" spans="1:2" x14ac:dyDescent="0.3">
      <c r="A99" t="s">
        <v>117</v>
      </c>
      <c r="B99">
        <v>91</v>
      </c>
    </row>
    <row r="100" spans="1:2" x14ac:dyDescent="0.3">
      <c r="A100" t="s">
        <v>118</v>
      </c>
      <c r="B100">
        <v>92</v>
      </c>
    </row>
    <row r="101" spans="1:2" x14ac:dyDescent="0.3">
      <c r="A101" t="s">
        <v>119</v>
      </c>
      <c r="B101">
        <v>93</v>
      </c>
    </row>
    <row r="102" spans="1:2" x14ac:dyDescent="0.3">
      <c r="A102" t="s">
        <v>120</v>
      </c>
      <c r="B102">
        <v>94</v>
      </c>
    </row>
    <row r="103" spans="1:2" x14ac:dyDescent="0.3">
      <c r="A103" t="s">
        <v>121</v>
      </c>
      <c r="B103">
        <v>95</v>
      </c>
    </row>
    <row r="104" spans="1:2" x14ac:dyDescent="0.3">
      <c r="A104" t="s">
        <v>122</v>
      </c>
      <c r="B104">
        <v>96</v>
      </c>
    </row>
    <row r="105" spans="1:2" x14ac:dyDescent="0.3">
      <c r="A105" t="s">
        <v>123</v>
      </c>
      <c r="B105">
        <v>97</v>
      </c>
    </row>
    <row r="106" spans="1:2" x14ac:dyDescent="0.3">
      <c r="A106" t="s">
        <v>124</v>
      </c>
      <c r="B106">
        <v>98</v>
      </c>
    </row>
    <row r="107" spans="1:2" x14ac:dyDescent="0.3">
      <c r="A107" t="s">
        <v>125</v>
      </c>
      <c r="B107">
        <v>99</v>
      </c>
    </row>
    <row r="108" spans="1:2" x14ac:dyDescent="0.3">
      <c r="A108" t="s">
        <v>126</v>
      </c>
      <c r="B108">
        <v>100</v>
      </c>
    </row>
    <row r="109" spans="1:2" x14ac:dyDescent="0.3">
      <c r="A109" t="s">
        <v>127</v>
      </c>
      <c r="B109">
        <v>101</v>
      </c>
    </row>
    <row r="110" spans="1:2" x14ac:dyDescent="0.3">
      <c r="A110" t="s">
        <v>128</v>
      </c>
      <c r="B110">
        <v>102</v>
      </c>
    </row>
    <row r="111" spans="1:2" x14ac:dyDescent="0.3">
      <c r="A111" t="s">
        <v>129</v>
      </c>
      <c r="B111">
        <v>103</v>
      </c>
    </row>
    <row r="112" spans="1:2" x14ac:dyDescent="0.3">
      <c r="A112" t="s">
        <v>130</v>
      </c>
      <c r="B112">
        <v>104</v>
      </c>
    </row>
    <row r="113" spans="1:2" x14ac:dyDescent="0.3">
      <c r="A113" t="s">
        <v>131</v>
      </c>
      <c r="B113">
        <v>105</v>
      </c>
    </row>
    <row r="114" spans="1:2" x14ac:dyDescent="0.3">
      <c r="A114" t="s">
        <v>132</v>
      </c>
      <c r="B114">
        <v>106</v>
      </c>
    </row>
    <row r="115" spans="1:2" x14ac:dyDescent="0.3">
      <c r="A115" t="s">
        <v>133</v>
      </c>
      <c r="B115">
        <v>107</v>
      </c>
    </row>
    <row r="116" spans="1:2" x14ac:dyDescent="0.3">
      <c r="A116" t="s">
        <v>134</v>
      </c>
      <c r="B116">
        <v>108</v>
      </c>
    </row>
    <row r="117" spans="1:2" x14ac:dyDescent="0.3">
      <c r="A117" t="s">
        <v>135</v>
      </c>
      <c r="B117">
        <v>109</v>
      </c>
    </row>
    <row r="118" spans="1:2" x14ac:dyDescent="0.3">
      <c r="A118" t="s">
        <v>136</v>
      </c>
      <c r="B118">
        <v>110</v>
      </c>
    </row>
    <row r="119" spans="1:2" x14ac:dyDescent="0.3">
      <c r="A119" t="s">
        <v>137</v>
      </c>
      <c r="B119">
        <v>111</v>
      </c>
    </row>
    <row r="120" spans="1:2" x14ac:dyDescent="0.3">
      <c r="A120" t="s">
        <v>138</v>
      </c>
      <c r="B120">
        <v>112</v>
      </c>
    </row>
    <row r="121" spans="1:2" x14ac:dyDescent="0.3">
      <c r="A121" t="s">
        <v>139</v>
      </c>
      <c r="B121">
        <v>113</v>
      </c>
    </row>
    <row r="122" spans="1:2" x14ac:dyDescent="0.3">
      <c r="A122" t="s">
        <v>140</v>
      </c>
      <c r="B122">
        <v>114</v>
      </c>
    </row>
    <row r="123" spans="1:2" x14ac:dyDescent="0.3">
      <c r="A123" t="s">
        <v>141</v>
      </c>
      <c r="B123">
        <v>115</v>
      </c>
    </row>
    <row r="124" spans="1:2" x14ac:dyDescent="0.3">
      <c r="A124" t="s">
        <v>142</v>
      </c>
      <c r="B124">
        <v>116</v>
      </c>
    </row>
    <row r="125" spans="1:2" x14ac:dyDescent="0.3">
      <c r="A125" t="s">
        <v>143</v>
      </c>
      <c r="B125">
        <v>117</v>
      </c>
    </row>
    <row r="126" spans="1:2" x14ac:dyDescent="0.3">
      <c r="A126" t="s">
        <v>144</v>
      </c>
      <c r="B126">
        <v>118</v>
      </c>
    </row>
    <row r="127" spans="1:2" x14ac:dyDescent="0.3">
      <c r="A127" t="s">
        <v>145</v>
      </c>
      <c r="B127">
        <v>119</v>
      </c>
    </row>
    <row r="128" spans="1:2" x14ac:dyDescent="0.3">
      <c r="A128" t="s">
        <v>146</v>
      </c>
      <c r="B128">
        <v>120</v>
      </c>
    </row>
    <row r="129" spans="1:2" x14ac:dyDescent="0.3">
      <c r="A129" t="s">
        <v>147</v>
      </c>
      <c r="B129">
        <v>121</v>
      </c>
    </row>
    <row r="130" spans="1:2" x14ac:dyDescent="0.3">
      <c r="A130" t="s">
        <v>148</v>
      </c>
      <c r="B130">
        <v>122</v>
      </c>
    </row>
    <row r="131" spans="1:2" x14ac:dyDescent="0.3">
      <c r="A131" t="s">
        <v>149</v>
      </c>
      <c r="B131">
        <v>123</v>
      </c>
    </row>
    <row r="132" spans="1:2" x14ac:dyDescent="0.3">
      <c r="A132" t="s">
        <v>150</v>
      </c>
      <c r="B132">
        <v>124</v>
      </c>
    </row>
    <row r="133" spans="1:2" x14ac:dyDescent="0.3">
      <c r="A133" t="s">
        <v>151</v>
      </c>
      <c r="B133">
        <v>125</v>
      </c>
    </row>
    <row r="134" spans="1:2" x14ac:dyDescent="0.3">
      <c r="A134" t="s">
        <v>152</v>
      </c>
      <c r="B134">
        <v>126</v>
      </c>
    </row>
    <row r="135" spans="1:2" x14ac:dyDescent="0.3">
      <c r="A135" t="s">
        <v>153</v>
      </c>
      <c r="B135">
        <v>127</v>
      </c>
    </row>
    <row r="136" spans="1:2" x14ac:dyDescent="0.3">
      <c r="A136" t="s">
        <v>154</v>
      </c>
      <c r="B136">
        <v>128</v>
      </c>
    </row>
    <row r="137" spans="1:2" x14ac:dyDescent="0.3">
      <c r="A137" t="s">
        <v>155</v>
      </c>
      <c r="B137">
        <v>129</v>
      </c>
    </row>
    <row r="138" spans="1:2" x14ac:dyDescent="0.3">
      <c r="A138" t="s">
        <v>156</v>
      </c>
      <c r="B138">
        <v>130</v>
      </c>
    </row>
    <row r="139" spans="1:2" x14ac:dyDescent="0.3">
      <c r="A139" t="s">
        <v>157</v>
      </c>
      <c r="B139">
        <v>131</v>
      </c>
    </row>
    <row r="140" spans="1:2" x14ac:dyDescent="0.3">
      <c r="A140" t="s">
        <v>158</v>
      </c>
      <c r="B140">
        <v>132</v>
      </c>
    </row>
    <row r="141" spans="1:2" x14ac:dyDescent="0.3">
      <c r="A141" t="s">
        <v>159</v>
      </c>
      <c r="B141">
        <v>133</v>
      </c>
    </row>
    <row r="142" spans="1:2" x14ac:dyDescent="0.3">
      <c r="A142" t="s">
        <v>160</v>
      </c>
      <c r="B142">
        <v>134</v>
      </c>
    </row>
    <row r="143" spans="1:2" x14ac:dyDescent="0.3">
      <c r="A143" t="s">
        <v>161</v>
      </c>
      <c r="B143">
        <v>135</v>
      </c>
    </row>
    <row r="144" spans="1:2" x14ac:dyDescent="0.3">
      <c r="A144" t="s">
        <v>162</v>
      </c>
      <c r="B144">
        <v>136</v>
      </c>
    </row>
    <row r="145" spans="1:2" x14ac:dyDescent="0.3">
      <c r="A145" t="s">
        <v>163</v>
      </c>
      <c r="B145">
        <v>137</v>
      </c>
    </row>
    <row r="146" spans="1:2" x14ac:dyDescent="0.3">
      <c r="A146" t="s">
        <v>164</v>
      </c>
      <c r="B146">
        <v>138</v>
      </c>
    </row>
    <row r="147" spans="1:2" x14ac:dyDescent="0.3">
      <c r="A147" t="s">
        <v>165</v>
      </c>
      <c r="B147">
        <v>139</v>
      </c>
    </row>
    <row r="148" spans="1:2" x14ac:dyDescent="0.3">
      <c r="A148" t="s">
        <v>166</v>
      </c>
      <c r="B148">
        <v>140</v>
      </c>
    </row>
    <row r="149" spans="1:2" x14ac:dyDescent="0.3">
      <c r="A149" t="s">
        <v>167</v>
      </c>
      <c r="B149">
        <v>141</v>
      </c>
    </row>
    <row r="150" spans="1:2" x14ac:dyDescent="0.3">
      <c r="A150" t="s">
        <v>168</v>
      </c>
      <c r="B150">
        <v>142</v>
      </c>
    </row>
    <row r="151" spans="1:2" x14ac:dyDescent="0.3">
      <c r="A151" t="s">
        <v>169</v>
      </c>
      <c r="B151">
        <v>143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Reader">
                <anchor moveWithCells="1" sizeWithCells="1">
                  <from>
                    <xdr:col>1</xdr:col>
                    <xdr:colOff>998220</xdr:colOff>
                    <xdr:row>3</xdr:row>
                    <xdr:rowOff>15240</xdr:rowOff>
                  </from>
                  <to>
                    <xdr:col>3</xdr:col>
                    <xdr:colOff>7620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Z75"/>
  <sheetViews>
    <sheetView tabSelected="1" topLeftCell="D1" zoomScale="85" zoomScaleNormal="85" workbookViewId="0">
      <selection activeCell="J44" sqref="J44"/>
    </sheetView>
  </sheetViews>
  <sheetFormatPr defaultColWidth="8.6640625" defaultRowHeight="14.4" x14ac:dyDescent="0.3"/>
  <cols>
    <col min="1" max="1" width="5.109375" style="25" customWidth="1"/>
    <col min="2" max="2" width="5.5546875" style="25" customWidth="1"/>
    <col min="3" max="6" width="8.6640625" style="25" customWidth="1"/>
    <col min="7" max="7" width="9.5546875" style="25" bestFit="1" customWidth="1"/>
    <col min="8" max="8" width="2.6640625" style="25" customWidth="1"/>
    <col min="9" max="12" width="8.6640625" style="25" customWidth="1"/>
    <col min="13" max="13" width="1.5546875" style="25" customWidth="1"/>
    <col min="14" max="17" width="8.6640625" style="25" customWidth="1"/>
    <col min="18" max="18" width="1.5546875" style="25" customWidth="1"/>
    <col min="19" max="22" width="8.6640625" style="25" customWidth="1"/>
    <col min="23" max="23" width="1.6640625" style="25" customWidth="1"/>
    <col min="24" max="27" width="8.6640625" style="25" customWidth="1"/>
    <col min="28" max="28" width="8.109375" style="25" customWidth="1"/>
    <col min="29" max="32" width="8.6640625" style="25" customWidth="1"/>
    <col min="33" max="33" width="1.44140625" style="25" customWidth="1"/>
    <col min="34" max="37" width="8.6640625" style="25" customWidth="1"/>
    <col min="38" max="38" width="1.6640625" style="25" customWidth="1"/>
    <col min="39" max="42" width="8.6640625" style="25" customWidth="1"/>
    <col min="43" max="43" width="1.6640625" style="25" customWidth="1"/>
    <col min="44" max="47" width="8.6640625" style="25" customWidth="1"/>
    <col min="48" max="48" width="1.6640625" style="25" customWidth="1"/>
    <col min="49" max="49" width="8.6640625" style="25" customWidth="1"/>
    <col min="50" max="16384" width="8.6640625" style="25"/>
  </cols>
  <sheetData>
    <row r="1" spans="1:52" ht="18.600000000000001" customHeight="1" x14ac:dyDescent="0.35">
      <c r="A1" s="1" t="s">
        <v>170</v>
      </c>
      <c r="G1" t="str">
        <f>$A9&amp;$B9&amp;$C9&amp;$D$7&amp;D$8&amp;E$6&amp;F$6</f>
        <v>efF+efE+onbP+grilW+WPoEPBo</v>
      </c>
      <c r="AE1" t="str">
        <f>$A9&amp;$B9&amp;$C9&amp;$D$7&amp;AB$8&amp;Y$6&amp;AD$6</f>
        <v>efF+efE+onbP+WP+WP+</v>
      </c>
    </row>
    <row r="3" spans="1:52" x14ac:dyDescent="0.3">
      <c r="A3" s="4" t="s">
        <v>171</v>
      </c>
      <c r="C3">
        <v>3</v>
      </c>
    </row>
    <row r="4" spans="1:52" x14ac:dyDescent="0.3">
      <c r="A4" s="4"/>
    </row>
    <row r="5" spans="1:52" x14ac:dyDescent="0.3">
      <c r="A5" s="4" t="s">
        <v>172</v>
      </c>
      <c r="C5">
        <v>6</v>
      </c>
    </row>
    <row r="6" spans="1:52" ht="15" customHeight="1" thickBot="1" x14ac:dyDescent="0.35">
      <c r="A6" s="4"/>
      <c r="E6" s="19" t="s">
        <v>173</v>
      </c>
      <c r="F6" s="19" t="s">
        <v>174</v>
      </c>
      <c r="J6" s="19" t="str">
        <f>E6</f>
        <v>WPo</v>
      </c>
      <c r="K6" s="26" t="s">
        <v>175</v>
      </c>
      <c r="O6" s="27" t="str">
        <f>E6</f>
        <v>WPo</v>
      </c>
      <c r="P6" s="30" t="s">
        <v>176</v>
      </c>
      <c r="T6" s="20" t="s">
        <v>177</v>
      </c>
      <c r="U6" s="27" t="s">
        <v>174</v>
      </c>
      <c r="Y6" s="28" t="str">
        <f>T6</f>
        <v>WP+</v>
      </c>
      <c r="Z6" s="26" t="s">
        <v>175</v>
      </c>
      <c r="AD6" s="20" t="str">
        <f>T6</f>
        <v>WP+</v>
      </c>
      <c r="AE6" s="30" t="s">
        <v>176</v>
      </c>
      <c r="AI6" s="29" t="s">
        <v>178</v>
      </c>
      <c r="AJ6" s="27" t="s">
        <v>174</v>
      </c>
      <c r="AN6" s="30" t="str">
        <f>AI6</f>
        <v>WP-</v>
      </c>
      <c r="AO6" s="20" t="s">
        <v>175</v>
      </c>
      <c r="AS6" s="29" t="str">
        <f>AI6</f>
        <v>WP-</v>
      </c>
      <c r="AT6" s="30" t="s">
        <v>176</v>
      </c>
    </row>
    <row r="7" spans="1:52" x14ac:dyDescent="0.3">
      <c r="D7" s="31" t="s">
        <v>179</v>
      </c>
      <c r="E7" s="32"/>
      <c r="F7" s="31" t="s">
        <v>180</v>
      </c>
      <c r="G7" s="32"/>
      <c r="I7" s="31" t="str">
        <f>D7</f>
        <v>onbP+</v>
      </c>
      <c r="J7" s="32"/>
      <c r="K7" s="31" t="str">
        <f>F7</f>
        <v>onbP-</v>
      </c>
      <c r="L7" s="32"/>
      <c r="N7" s="31" t="str">
        <f>D7</f>
        <v>onbP+</v>
      </c>
      <c r="O7" s="32"/>
      <c r="P7" s="31" t="str">
        <f>F7</f>
        <v>onbP-</v>
      </c>
      <c r="Q7" s="32"/>
      <c r="S7" s="31" t="str">
        <f>D7</f>
        <v>onbP+</v>
      </c>
      <c r="T7" s="32"/>
      <c r="U7" s="31" t="str">
        <f>F7</f>
        <v>onbP-</v>
      </c>
      <c r="V7" s="32"/>
      <c r="X7" s="31" t="str">
        <f>S7</f>
        <v>onbP+</v>
      </c>
      <c r="Y7" s="32"/>
      <c r="Z7" s="31" t="str">
        <f>U7</f>
        <v>onbP-</v>
      </c>
      <c r="AA7" s="32"/>
      <c r="AC7" s="31" t="str">
        <f>S7</f>
        <v>onbP+</v>
      </c>
      <c r="AD7" s="32"/>
      <c r="AE7" s="31" t="str">
        <f>U7</f>
        <v>onbP-</v>
      </c>
      <c r="AF7" s="32"/>
      <c r="AH7" s="31" t="str">
        <f>S7</f>
        <v>onbP+</v>
      </c>
      <c r="AI7" s="32"/>
      <c r="AJ7" s="31" t="str">
        <f>U7</f>
        <v>onbP-</v>
      </c>
      <c r="AK7" s="32"/>
      <c r="AM7" s="31" t="str">
        <f>AH7</f>
        <v>onbP+</v>
      </c>
      <c r="AN7" s="32"/>
      <c r="AO7" s="31" t="str">
        <f>AJ7</f>
        <v>onbP-</v>
      </c>
      <c r="AP7" s="32"/>
      <c r="AR7" s="31" t="str">
        <f>AH7</f>
        <v>onbP+</v>
      </c>
      <c r="AS7" s="32"/>
      <c r="AT7" s="31" t="str">
        <f>AJ7</f>
        <v>onbP-</v>
      </c>
      <c r="AU7" s="32"/>
      <c r="AW7" s="33"/>
      <c r="AX7" s="33"/>
      <c r="AY7" s="33"/>
      <c r="AZ7" s="33"/>
    </row>
    <row r="8" spans="1:52" ht="15" customHeight="1" thickBot="1" x14ac:dyDescent="0.35">
      <c r="C8" t="s">
        <v>181</v>
      </c>
      <c r="D8" s="8" t="s">
        <v>182</v>
      </c>
      <c r="E8" s="9" t="s">
        <v>183</v>
      </c>
      <c r="F8" s="8" t="s">
        <v>182</v>
      </c>
      <c r="G8" s="9" t="s">
        <v>183</v>
      </c>
      <c r="I8" s="8" t="str">
        <f>D8</f>
        <v>grilW+</v>
      </c>
      <c r="J8" s="9" t="str">
        <f>E8</f>
        <v>grilW-</v>
      </c>
      <c r="K8" s="8" t="str">
        <f>F8</f>
        <v>grilW+</v>
      </c>
      <c r="L8" s="9" t="str">
        <f>G8</f>
        <v>grilW-</v>
      </c>
      <c r="N8" s="8" t="str">
        <f>D8</f>
        <v>grilW+</v>
      </c>
      <c r="O8" s="9" t="str">
        <f>E8</f>
        <v>grilW-</v>
      </c>
      <c r="P8" s="8" t="str">
        <f>F8</f>
        <v>grilW+</v>
      </c>
      <c r="Q8" s="9" t="str">
        <f>G8</f>
        <v>grilW-</v>
      </c>
      <c r="S8" s="8" t="str">
        <f>D8</f>
        <v>grilW+</v>
      </c>
      <c r="T8" s="9" t="str">
        <f>E8</f>
        <v>grilW-</v>
      </c>
      <c r="U8" s="8" t="str">
        <f>F8</f>
        <v>grilW+</v>
      </c>
      <c r="V8" s="9" t="str">
        <f>G8</f>
        <v>grilW-</v>
      </c>
      <c r="X8" s="8" t="str">
        <f>S8</f>
        <v>grilW+</v>
      </c>
      <c r="Y8" s="9" t="str">
        <f>T8</f>
        <v>grilW-</v>
      </c>
      <c r="Z8" s="8" t="str">
        <f>U8</f>
        <v>grilW+</v>
      </c>
      <c r="AA8" s="9" t="str">
        <f>V8</f>
        <v>grilW-</v>
      </c>
      <c r="AC8" s="8" t="str">
        <f>S8</f>
        <v>grilW+</v>
      </c>
      <c r="AD8" s="9" t="str">
        <f>T8</f>
        <v>grilW-</v>
      </c>
      <c r="AE8" s="8" t="str">
        <f>U8</f>
        <v>grilW+</v>
      </c>
      <c r="AF8" s="9" t="str">
        <f>V8</f>
        <v>grilW-</v>
      </c>
      <c r="AH8" s="8" t="str">
        <f>S8</f>
        <v>grilW+</v>
      </c>
      <c r="AI8" s="9" t="str">
        <f>T8</f>
        <v>grilW-</v>
      </c>
      <c r="AJ8" s="8" t="str">
        <f>U8</f>
        <v>grilW+</v>
      </c>
      <c r="AK8" s="9" t="str">
        <f>V8</f>
        <v>grilW-</v>
      </c>
      <c r="AM8" s="8" t="str">
        <f>AH8</f>
        <v>grilW+</v>
      </c>
      <c r="AN8" s="9" t="str">
        <f>AI8</f>
        <v>grilW-</v>
      </c>
      <c r="AO8" s="8" t="str">
        <f>AJ8</f>
        <v>grilW+</v>
      </c>
      <c r="AP8" s="9" t="str">
        <f>AK8</f>
        <v>grilW-</v>
      </c>
      <c r="AR8" s="8" t="str">
        <f>AH8</f>
        <v>grilW+</v>
      </c>
      <c r="AS8" s="9" t="str">
        <f>AI8</f>
        <v>grilW-</v>
      </c>
      <c r="AT8" s="8" t="str">
        <f>AJ8</f>
        <v>grilW+</v>
      </c>
      <c r="AU8" s="9" t="str">
        <f>AK8</f>
        <v>grilW-</v>
      </c>
    </row>
    <row r="9" spans="1:52" ht="15.75" customHeight="1" thickBot="1" x14ac:dyDescent="0.35">
      <c r="A9" s="36" t="s">
        <v>184</v>
      </c>
      <c r="B9" s="39" t="s">
        <v>185</v>
      </c>
      <c r="C9" s="10"/>
      <c r="D9" s="13">
        <f ca="1">OFFSET(Data!$A$2,$C$3,VLOOKUP($A9&amp;$B9&amp;$C9&amp;$D$7&amp;D$8&amp;E$6&amp;F$6,OFFSET(Setup!$A$8,0,0,Setup!$A$4,2),2,FALSE)*Setup!$A$5+View!$C$5)</f>
        <v>23</v>
      </c>
      <c r="E9" s="14">
        <f ca="1">OFFSET(Data!$A$2,$C$3,VLOOKUP($A9&amp;$B9&amp;$C9&amp;$D$7&amp;E$8&amp;E$6&amp;F$6,OFFSET(Setup!$A$8,0,0,Setup!$A$4,2),2,FALSE)*Setup!$A$5+View!$C$5)</f>
        <v>23</v>
      </c>
      <c r="F9" s="13">
        <f ca="1">OFFSET(Data!$A$2,$C$3,VLOOKUP($A9&amp;$B9&amp;$C9&amp;$F$7&amp;F$8&amp;E$6&amp;F$6,OFFSET(Setup!$A$8,0,0,Setup!$A$4,2),2,FALSE)*Setup!$A$5+View!$C$5)</f>
        <v>23</v>
      </c>
      <c r="G9" s="14">
        <f ca="1">OFFSET(Data!$A$2,$C$3,VLOOKUP($A9&amp;$B9&amp;$C9&amp;$F$7&amp;G$8&amp;E$6&amp;F$6,OFFSET(Setup!$A$8,0,0,Setup!$A$4,2),2,FALSE)*Setup!$A$5+View!$C$5)</f>
        <v>23</v>
      </c>
      <c r="I9" s="13">
        <f ca="1">OFFSET(Data!$A$2,$C$3,VLOOKUP($A9&amp;$B9&amp;$C9&amp;$D$7&amp;I$8&amp;J$6&amp;K$6,OFFSET(Setup!$A$8,0,0,Setup!$A$4,2),2,FALSE)*Setup!$A$5+View!$C$5)</f>
        <v>24</v>
      </c>
      <c r="J9" s="14">
        <f ca="1">OFFSET(Data!$A$2,$C$3,VLOOKUP($A9&amp;$B9&amp;$C9&amp;$D$7&amp;J$8&amp;J$6&amp;K$6,OFFSET(Setup!$A$8,0,0,Setup!$A$4,2),2,FALSE)*Setup!$A$5+View!$C$5)</f>
        <v>24</v>
      </c>
      <c r="K9" s="13">
        <f ca="1">OFFSET(Data!$A$2,$C$3,VLOOKUP($A9&amp;$B9&amp;$C9&amp;$F$7&amp;K$8&amp;J$6&amp;K$6,OFFSET(Setup!$A$8,0,0,Setup!$A$4,2),2,FALSE)*Setup!$A$5+View!$C$5)</f>
        <v>24</v>
      </c>
      <c r="L9" s="14">
        <f ca="1">OFFSET(Data!$A$2,$C$3,VLOOKUP($A9&amp;$B9&amp;$C9&amp;$F$7&amp;L$8&amp;J$6&amp;K$6,OFFSET(Setup!$A$8,0,0,Setup!$A$4,2),2,FALSE)*Setup!$A$5+View!$C$5)</f>
        <v>24</v>
      </c>
      <c r="N9" s="13">
        <f ca="1">OFFSET(Data!$A$2,$C$3,VLOOKUP($A9&amp;$B9&amp;$C9&amp;$D$7&amp;N$8&amp;O$6&amp;P$6,OFFSET(Setup!$A$8,0,0,Setup!$A$4,2),2,FALSE)*Setup!$A$5+View!$C$5)</f>
        <v>25</v>
      </c>
      <c r="O9" s="14">
        <f ca="1">OFFSET(Data!$A$2,$C$3,VLOOKUP($A9&amp;$B9&amp;$C9&amp;$D$7&amp;O$8&amp;O$6&amp;P$6,OFFSET(Setup!$A$8,0,0,Setup!$A$4,2),2,FALSE)*Setup!$A$5+View!$C$5)</f>
        <v>25</v>
      </c>
      <c r="P9" s="13">
        <f ca="1">OFFSET(Data!$A$2,$C$3,VLOOKUP($A9&amp;$B9&amp;$C9&amp;$F$7&amp;P$8&amp;O$6&amp;P$6,OFFSET(Setup!$A$8,0,0,Setup!$A$4,2),2,FALSE)*Setup!$A$5+View!$C$5)</f>
        <v>25</v>
      </c>
      <c r="Q9" s="14">
        <f ca="1">OFFSET(Data!$A$2,$C$3,VLOOKUP($A9&amp;$B9&amp;$C9&amp;$F$7&amp;Q$8&amp;O$6&amp;P$6,OFFSET(Setup!$A$8,0,0,Setup!$A$4,2),2,FALSE)*Setup!$A$5+View!$C$5)</f>
        <v>25</v>
      </c>
      <c r="S9" s="13">
        <f ca="1">OFFSET(Data!$A$2,$C$3,VLOOKUP($A9&amp;$B9&amp;$C9&amp;$D$7&amp;S$8&amp;T$6&amp;U$6,OFFSET(Setup!$A$8,0,0,Setup!$A$4,2),2,FALSE)*Setup!$A$5+View!$C$5)</f>
        <v>23</v>
      </c>
      <c r="T9" s="14">
        <f ca="1">OFFSET(Data!$A$2,$C$3,VLOOKUP($A9&amp;$B9&amp;$C9&amp;$D$7&amp;T$8&amp;T$6&amp;U$6,OFFSET(Setup!$A$8,0,0,Setup!$A$4,2),2,FALSE)*Setup!$A$5+View!$C$5)</f>
        <v>23</v>
      </c>
      <c r="U9" s="13">
        <f ca="1">OFFSET(Data!$A$2,$C$3,VLOOKUP($A9&amp;$B9&amp;$C9&amp;$F$7&amp;U$8&amp;T$6&amp;U$6,OFFSET(Setup!$A$8,0,0,Setup!$A$4,2),2,FALSE)*Setup!$A$5+View!$C$5)</f>
        <v>23</v>
      </c>
      <c r="V9" s="14">
        <f ca="1">OFFSET(Data!$A$2,$C$3,VLOOKUP($A9&amp;$B9&amp;$C9&amp;$F$7&amp;V$8&amp;T$6&amp;U$6,OFFSET(Setup!$A$8,0,0,Setup!$A$4,2),2,FALSE)*Setup!$A$5+View!$C$5)</f>
        <v>23</v>
      </c>
      <c r="X9" s="13">
        <f ca="1">OFFSET(Data!$A$2,$C$3,VLOOKUP($A9&amp;$B9&amp;$C9&amp;$D$7&amp;X$8&amp;Y$6&amp;Z$6,OFFSET(Setup!$A$8,0,0,Setup!$A$4,2),2,FALSE)*Setup!$A$5+View!$C$5)</f>
        <v>24</v>
      </c>
      <c r="Y9" s="14">
        <f ca="1">OFFSET(Data!$A$2,$C$3,VLOOKUP($A9&amp;$B9&amp;$C9&amp;$D$7&amp;Y$8&amp;Y$6&amp;Z$6,OFFSET(Setup!$A$8,0,0,Setup!$A$4,2),2,FALSE)*Setup!$A$5+View!$C$5)</f>
        <v>24</v>
      </c>
      <c r="Z9" s="13">
        <f ca="1">OFFSET(Data!$A$2,$C$3,VLOOKUP($A9&amp;$B9&amp;$C9&amp;$F$7&amp;Z$8&amp;Y$6&amp;Z$6,OFFSET(Setup!$A$8,0,0,Setup!$A$4,2),2,FALSE)*Setup!$A$5+View!$C$5)</f>
        <v>24</v>
      </c>
      <c r="AA9" s="14">
        <f ca="1">OFFSET(Data!$A$2,$C$3,VLOOKUP($A9&amp;$B9&amp;$C9&amp;$F$7&amp;AA$8&amp;Y$6&amp;Z$6,OFFSET(Setup!$A$8,0,0,Setup!$A$4,2),2,FALSE)*Setup!$A$5+View!$C$5)</f>
        <v>24</v>
      </c>
      <c r="AC9" s="13">
        <f ca="1">OFFSET(Data!$A$2,$C$3,VLOOKUP($A9&amp;$B9&amp;$C9&amp;$D$7&amp;AC$8&amp;AD$6&amp;AE$6,OFFSET(Setup!$A$8,0,0,Setup!$A$4,2),2,FALSE)*Setup!$A$5+View!$C$5)</f>
        <v>25</v>
      </c>
      <c r="AD9" s="14">
        <f ca="1">OFFSET(Data!$A$2,$C$3,VLOOKUP($A9&amp;$B9&amp;$C9&amp;$D$7&amp;AD$8&amp;AD$6&amp;AE$6,OFFSET(Setup!$A$8,0,0,Setup!$A$4,2),2,FALSE)*Setup!$A$5+View!$C$5)</f>
        <v>25</v>
      </c>
      <c r="AE9" s="13">
        <f ca="1">OFFSET(Data!$A$2,$C$3,VLOOKUP($A9&amp;$B9&amp;$C9&amp;$F$7&amp;AE$8&amp;AD$6&amp;AE$6,OFFSET(Setup!$A$8,0,0,Setup!$A$4,2),2,FALSE)*Setup!$A$5+View!$C$5)</f>
        <v>25</v>
      </c>
      <c r="AF9" s="14">
        <f ca="1">OFFSET(Data!$A$2,$C$3,VLOOKUP($A9&amp;$B9&amp;$C9&amp;$F$7&amp;AF$8&amp;AD$6&amp;AE$6,OFFSET(Setup!$A$8,0,0,Setup!$A$4,2),2,FALSE)*Setup!$A$5+View!$C$5)</f>
        <v>25</v>
      </c>
      <c r="AH9" s="13">
        <f ca="1">OFFSET(Data!$A$2,$C$3,VLOOKUP($A9&amp;$B9&amp;$C9&amp;$D$7&amp;AH$8&amp;AI$6&amp;AJ$6,OFFSET(Setup!$A$8,0,0,Setup!$A$4,2),2,FALSE)*Setup!$A$5+View!$C$5)</f>
        <v>23</v>
      </c>
      <c r="AI9" s="14">
        <f ca="1">OFFSET(Data!$A$2,$C$3,VLOOKUP($A9&amp;$B9&amp;$C9&amp;$D$7&amp;AI$8&amp;AI$6&amp;AJ$6,OFFSET(Setup!$A$8,0,0,Setup!$A$4,2),2,FALSE)*Setup!$A$5+View!$C$5)</f>
        <v>23</v>
      </c>
      <c r="AJ9" s="13">
        <f ca="1">OFFSET(Data!$A$2,$C$3,VLOOKUP($A9&amp;$B9&amp;$C9&amp;$F$7&amp;AJ$8&amp;AI$6&amp;AJ$6,OFFSET(Setup!$A$8,0,0,Setup!$A$4,2),2,FALSE)*Setup!$A$5+View!$C$5)</f>
        <v>23</v>
      </c>
      <c r="AK9" s="14">
        <f ca="1">OFFSET(Data!$A$2,$C$3,VLOOKUP($A9&amp;$B9&amp;$C9&amp;$F$7&amp;AK$8&amp;AI$6&amp;AJ$6,OFFSET(Setup!$A$8,0,0,Setup!$A$4,2),2,FALSE)*Setup!$A$5+View!$C$5)</f>
        <v>23</v>
      </c>
      <c r="AM9" s="13">
        <f ca="1">OFFSET(Data!$A$2,$C$3,VLOOKUP($A9&amp;$B9&amp;$C9&amp;$D$7&amp;AM$8&amp;AN$6&amp;AO$6,OFFSET(Setup!$A$8,0,0,Setup!$A$4,2),2,FALSE)*Setup!$A$5+View!$C$5)</f>
        <v>24</v>
      </c>
      <c r="AN9" s="14">
        <f ca="1">OFFSET(Data!$A$2,$C$3,VLOOKUP($A9&amp;$B9&amp;$C9&amp;$D$7&amp;AN$8&amp;AN$6&amp;AO$6,OFFSET(Setup!$A$8,0,0,Setup!$A$4,2),2,FALSE)*Setup!$A$5+View!$C$5)</f>
        <v>24</v>
      </c>
      <c r="AO9" s="13">
        <f ca="1">OFFSET(Data!$A$2,$C$3,VLOOKUP($A9&amp;$B9&amp;$C9&amp;$F$7&amp;AO$8&amp;AN$6&amp;AO$6,OFFSET(Setup!$A$8,0,0,Setup!$A$4,2),2,FALSE)*Setup!$A$5+View!$C$5)</f>
        <v>24</v>
      </c>
      <c r="AP9" s="14">
        <f ca="1">OFFSET(Data!$A$2,$C$3,VLOOKUP($A9&amp;$B9&amp;$C9&amp;$F$7&amp;AP$8&amp;AN$6&amp;AO$6,OFFSET(Setup!$A$8,0,0,Setup!$A$4,2),2,FALSE)*Setup!$A$5+View!$C$5)</f>
        <v>24</v>
      </c>
      <c r="AR9" s="13">
        <f ca="1">OFFSET(Data!$A$2,$C$3,VLOOKUP($A9&amp;$B9&amp;$C9&amp;$D$7&amp;AR$8&amp;AS$6&amp;AT$6,OFFSET(Setup!$A$8,0,0,Setup!$A$4,2),2,FALSE)*Setup!$A$5+View!$C$5)</f>
        <v>25</v>
      </c>
      <c r="AS9" s="14">
        <f ca="1">OFFSET(Data!$A$2,$C$3,VLOOKUP($A9&amp;$B9&amp;$C9&amp;$D$7&amp;AS$8&amp;AS$6&amp;AT$6,OFFSET(Setup!$A$8,0,0,Setup!$A$4,2),2,FALSE)*Setup!$A$5+View!$C$5)</f>
        <v>25</v>
      </c>
      <c r="AT9" s="13">
        <f ca="1">OFFSET(Data!$A$2,$C$3,VLOOKUP($A9&amp;$B9&amp;$C9&amp;$F$7&amp;AT$8&amp;AS$6&amp;AT$6,OFFSET(Setup!$A$8,0,0,Setup!$A$4,2),2,FALSE)*Setup!$A$5+View!$C$5)</f>
        <v>25</v>
      </c>
      <c r="AU9" s="14">
        <f ca="1">OFFSET(Data!$A$2,$C$3,VLOOKUP($A9&amp;$B9&amp;$C9&amp;$F$7&amp;AU$8&amp;AS$6&amp;AT$6,OFFSET(Setup!$A$8,0,0,Setup!$A$4,2),2,FALSE)*Setup!$A$5+View!$C$5)</f>
        <v>25</v>
      </c>
    </row>
    <row r="10" spans="1:52" x14ac:dyDescent="0.3">
      <c r="A10" s="37"/>
      <c r="B10" s="33"/>
      <c r="C10" s="11"/>
      <c r="D10" s="15">
        <f ca="1">OFFSET(Data!$A$2,$C$3,VLOOKUP($A9&amp;$B9&amp;$C10&amp;$D$7&amp;D$8&amp;E$6&amp;F$6,OFFSET(Setup!$A$8,0,0,Setup!$A$4,2),2,FALSE)*Setup!$A$5+View!$C$5)</f>
        <v>23</v>
      </c>
      <c r="E10" s="16">
        <f ca="1">OFFSET(Data!$A$2,$C$3,VLOOKUP($A9&amp;$B9&amp;$C10&amp;$D$7&amp;E$8&amp;E$6&amp;F$6,OFFSET(Setup!$A$8,0,0,Setup!$A$4,2),2,FALSE)*Setup!$A$5+View!$C$5)</f>
        <v>23</v>
      </c>
      <c r="F10" s="15">
        <f ca="1">OFFSET(Data!$A$2,$C$3,VLOOKUP($A9&amp;$B9&amp;$C10&amp;$F$7&amp;F$8&amp;E$6&amp;F$6,OFFSET(Setup!$A$8,0,0,Setup!$A$4,2),2,FALSE)*Setup!$A$5+View!$C$5)</f>
        <v>23</v>
      </c>
      <c r="G10" s="16">
        <f ca="1">OFFSET(Data!$A$2,$C$3,VLOOKUP($A9&amp;$B9&amp;$C10&amp;$F$7&amp;G$8&amp;E$6&amp;F$6,OFFSET(Setup!$A$8,0,0,Setup!$A$4,2),2,FALSE)*Setup!$A$5+View!$C$5)</f>
        <v>23</v>
      </c>
      <c r="I10" s="15">
        <f ca="1">OFFSET(Data!$A$2,$C$3,VLOOKUP($A9&amp;$B9&amp;$C10&amp;$D$7&amp;I$8&amp;J$6&amp;K$6,OFFSET(Setup!$A$8,0,0,Setup!$A$4,2),2,FALSE)*Setup!$A$5+View!$C$5)</f>
        <v>24</v>
      </c>
      <c r="J10" s="16">
        <f ca="1">OFFSET(Data!$A$2,$C$3,VLOOKUP($A9&amp;$B9&amp;$C10&amp;$D$7&amp;J$8&amp;J$6&amp;K$6,OFFSET(Setup!$A$8,0,0,Setup!$A$4,2),2,FALSE)*Setup!$A$5+View!$C$5)</f>
        <v>24</v>
      </c>
      <c r="K10" s="15">
        <f ca="1">OFFSET(Data!$A$2,$C$3,VLOOKUP($A9&amp;$B9&amp;$C10&amp;$F$7&amp;K$8&amp;J$6&amp;K$6,OFFSET(Setup!$A$8,0,0,Setup!$A$4,2),2,FALSE)*Setup!$A$5+View!$C$5)</f>
        <v>24</v>
      </c>
      <c r="L10" s="16">
        <f ca="1">OFFSET(Data!$A$2,$C$3,VLOOKUP($A9&amp;$B9&amp;$C10&amp;$F$7&amp;L$8&amp;J$6&amp;K$6,OFFSET(Setup!$A$8,0,0,Setup!$A$4,2),2,FALSE)*Setup!$A$5+View!$C$5)</f>
        <v>24</v>
      </c>
      <c r="N10" s="15">
        <f ca="1">OFFSET(Data!$A$2,$C$3,VLOOKUP($A9&amp;$B9&amp;$C10&amp;$D$7&amp;N$8&amp;O$6&amp;P$6,OFFSET(Setup!$A$8,0,0,Setup!$A$4,2),2,FALSE)*Setup!$A$5+View!$C$5)</f>
        <v>25</v>
      </c>
      <c r="O10" s="16">
        <f ca="1">OFFSET(Data!$A$2,$C$3,VLOOKUP($A9&amp;$B9&amp;$C10&amp;$D$7&amp;O$8&amp;O$6&amp;P$6,OFFSET(Setup!$A$8,0,0,Setup!$A$4,2),2,FALSE)*Setup!$A$5+View!$C$5)</f>
        <v>25</v>
      </c>
      <c r="P10" s="15">
        <f ca="1">OFFSET(Data!$A$2,$C$3,VLOOKUP($A9&amp;$B9&amp;$C10&amp;$F$7&amp;P$8&amp;O$6&amp;P$6,OFFSET(Setup!$A$8,0,0,Setup!$A$4,2),2,FALSE)*Setup!$A$5+View!$C$5)</f>
        <v>25</v>
      </c>
      <c r="Q10" s="16">
        <f ca="1">OFFSET(Data!$A$2,$C$3,VLOOKUP($A9&amp;$B9&amp;$C10&amp;$F$7&amp;Q$8&amp;O$6&amp;P$6,OFFSET(Setup!$A$8,0,0,Setup!$A$4,2),2,FALSE)*Setup!$A$5+View!$C$5)</f>
        <v>25</v>
      </c>
      <c r="S10" s="15">
        <f ca="1">OFFSET(Data!$A$2,$C$3,VLOOKUP($A9&amp;$B9&amp;$C10&amp;$D$7&amp;S$8&amp;T$6&amp;U$6,OFFSET(Setup!$A$8,0,0,Setup!$A$4,2),2,FALSE)*Setup!$A$5+View!$C$5)</f>
        <v>23</v>
      </c>
      <c r="T10" s="16">
        <f ca="1">OFFSET(Data!$A$2,$C$3,VLOOKUP($A9&amp;$B9&amp;$C10&amp;$D$7&amp;T$8&amp;T$6&amp;U$6,OFFSET(Setup!$A$8,0,0,Setup!$A$4,2),2,FALSE)*Setup!$A$5+View!$C$5)</f>
        <v>23</v>
      </c>
      <c r="U10" s="15">
        <f ca="1">OFFSET(Data!$A$2,$C$3,VLOOKUP($A9&amp;$B9&amp;$C10&amp;$F$7&amp;U$8&amp;T$6&amp;U$6,OFFSET(Setup!$A$8,0,0,Setup!$A$4,2),2,FALSE)*Setup!$A$5+View!$C$5)</f>
        <v>23</v>
      </c>
      <c r="V10" s="16">
        <f ca="1">OFFSET(Data!$A$2,$C$3,VLOOKUP($A9&amp;$B9&amp;$C10&amp;$F$7&amp;V$8&amp;T$6&amp;U$6,OFFSET(Setup!$A$8,0,0,Setup!$A$4,2),2,FALSE)*Setup!$A$5+View!$C$5)</f>
        <v>23</v>
      </c>
      <c r="X10" s="15">
        <f ca="1">OFFSET(Data!$A$2,$C$3,VLOOKUP($A9&amp;$B9&amp;$C10&amp;$D$7&amp;X$8&amp;Y$6&amp;Z$6,OFFSET(Setup!$A$8,0,0,Setup!$A$4,2),2,FALSE)*Setup!$A$5+View!$C$5)</f>
        <v>24</v>
      </c>
      <c r="Y10" s="16">
        <f ca="1">OFFSET(Data!$A$2,$C$3,VLOOKUP($A9&amp;$B9&amp;$C10&amp;$D$7&amp;Y$8&amp;Y$6&amp;Z$6,OFFSET(Setup!$A$8,0,0,Setup!$A$4,2),2,FALSE)*Setup!$A$5+View!$C$5)</f>
        <v>24</v>
      </c>
      <c r="Z10" s="15">
        <f ca="1">OFFSET(Data!$A$2,$C$3,VLOOKUP($A9&amp;$B9&amp;$C10&amp;$F$7&amp;Z$8&amp;Y$6&amp;Z$6,OFFSET(Setup!$A$8,0,0,Setup!$A$4,2),2,FALSE)*Setup!$A$5+View!$C$5)</f>
        <v>24</v>
      </c>
      <c r="AA10" s="16">
        <f ca="1">OFFSET(Data!$A$2,$C$3,VLOOKUP($A9&amp;$B9&amp;$C10&amp;$F$7&amp;AA$8&amp;Y$6&amp;Z$6,OFFSET(Setup!$A$8,0,0,Setup!$A$4,2),2,FALSE)*Setup!$A$5+View!$C$5)</f>
        <v>24</v>
      </c>
      <c r="AC10" s="15">
        <f ca="1">OFFSET(Data!$A$2,$C$3,VLOOKUP($A9&amp;$B9&amp;$C10&amp;$D$7&amp;AC$8&amp;AD$6&amp;AE$6,OFFSET(Setup!$A$8,0,0,Setup!$A$4,2),2,FALSE)*Setup!$A$5+View!$C$5)</f>
        <v>25</v>
      </c>
      <c r="AD10" s="16">
        <f ca="1">OFFSET(Data!$A$2,$C$3,VLOOKUP($A9&amp;$B9&amp;$C10&amp;$D$7&amp;AD$8&amp;AD$6&amp;AE$6,OFFSET(Setup!$A$8,0,0,Setup!$A$4,2),2,FALSE)*Setup!$A$5+View!$C$5)</f>
        <v>25</v>
      </c>
      <c r="AE10" s="15">
        <f ca="1">OFFSET(Data!$A$2,$C$3,VLOOKUP($A9&amp;$B9&amp;$C10&amp;$F$7&amp;AE$8&amp;AD$6&amp;AE$6,OFFSET(Setup!$A$8,0,0,Setup!$A$4,2),2,FALSE)*Setup!$A$5+View!$C$5)</f>
        <v>25</v>
      </c>
      <c r="AF10" s="16">
        <f ca="1">OFFSET(Data!$A$2,$C$3,VLOOKUP($A9&amp;$B9&amp;$C10&amp;$F$7&amp;AF$8&amp;AD$6&amp;AE$6,OFFSET(Setup!$A$8,0,0,Setup!$A$4,2),2,FALSE)*Setup!$A$5+View!$C$5)</f>
        <v>25</v>
      </c>
      <c r="AH10" s="15">
        <f ca="1">OFFSET(Data!$A$2,$C$3,VLOOKUP($A9&amp;$B9&amp;$C10&amp;$D$7&amp;AH$8&amp;AI$6&amp;AJ$6,OFFSET(Setup!$A$8,0,0,Setup!$A$4,2),2,FALSE)*Setup!$A$5+View!$C$5)</f>
        <v>23</v>
      </c>
      <c r="AI10" s="16">
        <f ca="1">OFFSET(Data!$A$2,$C$3,VLOOKUP($A9&amp;$B9&amp;$C10&amp;$D$7&amp;AI$8&amp;AI$6&amp;AJ$6,OFFSET(Setup!$A$8,0,0,Setup!$A$4,2),2,FALSE)*Setup!$A$5+View!$C$5)</f>
        <v>23</v>
      </c>
      <c r="AJ10" s="15">
        <f ca="1">OFFSET(Data!$A$2,$C$3,VLOOKUP($A9&amp;$B9&amp;$C10&amp;$F$7&amp;AJ$8&amp;AI$6&amp;AJ$6,OFFSET(Setup!$A$8,0,0,Setup!$A$4,2),2,FALSE)*Setup!$A$5+View!$C$5)</f>
        <v>23</v>
      </c>
      <c r="AK10" s="16">
        <f ca="1">OFFSET(Data!$A$2,$C$3,VLOOKUP($A9&amp;$B9&amp;$C10&amp;$F$7&amp;AK$8&amp;AI$6&amp;AJ$6,OFFSET(Setup!$A$8,0,0,Setup!$A$4,2),2,FALSE)*Setup!$A$5+View!$C$5)</f>
        <v>23</v>
      </c>
      <c r="AM10" s="15">
        <f ca="1">OFFSET(Data!$A$2,$C$3,VLOOKUP($A9&amp;$B9&amp;$C10&amp;$D$7&amp;AM$8&amp;AN$6&amp;AO$6,OFFSET(Setup!$A$8,0,0,Setup!$A$4,2),2,FALSE)*Setup!$A$5+View!$C$5)</f>
        <v>24</v>
      </c>
      <c r="AN10" s="16">
        <f ca="1">OFFSET(Data!$A$2,$C$3,VLOOKUP($A9&amp;$B9&amp;$C10&amp;$D$7&amp;AN$8&amp;AN$6&amp;AO$6,OFFSET(Setup!$A$8,0,0,Setup!$A$4,2),2,FALSE)*Setup!$A$5+View!$C$5)</f>
        <v>24</v>
      </c>
      <c r="AO10" s="15">
        <f ca="1">OFFSET(Data!$A$2,$C$3,VLOOKUP($A9&amp;$B9&amp;$C10&amp;$F$7&amp;AO$8&amp;AN$6&amp;AO$6,OFFSET(Setup!$A$8,0,0,Setup!$A$4,2),2,FALSE)*Setup!$A$5+View!$C$5)</f>
        <v>24</v>
      </c>
      <c r="AP10" s="16">
        <f ca="1">OFFSET(Data!$A$2,$C$3,VLOOKUP($A9&amp;$B9&amp;$C10&amp;$F$7&amp;AP$8&amp;AN$6&amp;AO$6,OFFSET(Setup!$A$8,0,0,Setup!$A$4,2),2,FALSE)*Setup!$A$5+View!$C$5)</f>
        <v>24</v>
      </c>
      <c r="AR10" s="15">
        <f ca="1">OFFSET(Data!$A$2,$C$3,VLOOKUP($A9&amp;$B9&amp;$C10&amp;$D$7&amp;AR$8&amp;AS$6&amp;AT$6,OFFSET(Setup!$A$8,0,0,Setup!$A$4,2),2,FALSE)*Setup!$A$5+View!$C$5)</f>
        <v>25</v>
      </c>
      <c r="AS10" s="16">
        <f ca="1">OFFSET(Data!$A$2,$C$3,VLOOKUP($A9&amp;$B9&amp;$C10&amp;$D$7&amp;AS$8&amp;AS$6&amp;AT$6,OFFSET(Setup!$A$8,0,0,Setup!$A$4,2),2,FALSE)*Setup!$A$5+View!$C$5)</f>
        <v>25</v>
      </c>
      <c r="AT10" s="15">
        <f ca="1">OFFSET(Data!$A$2,$C$3,VLOOKUP($A9&amp;$B9&amp;$C10&amp;$F$7&amp;AT$8&amp;AS$6&amp;AT$6,OFFSET(Setup!$A$8,0,0,Setup!$A$4,2),2,FALSE)*Setup!$A$5+View!$C$5)</f>
        <v>25</v>
      </c>
      <c r="AU10" s="16">
        <f ca="1">OFFSET(Data!$A$2,$C$3,VLOOKUP($A9&amp;$B9&amp;$C10&amp;$F$7&amp;AU$8&amp;AS$6&amp;AT$6,OFFSET(Setup!$A$8,0,0,Setup!$A$4,2),2,FALSE)*Setup!$A$5+View!$C$5)</f>
        <v>25</v>
      </c>
    </row>
    <row r="11" spans="1:52" ht="15.75" customHeight="1" thickBot="1" x14ac:dyDescent="0.35">
      <c r="A11" s="37"/>
      <c r="B11" s="40" t="s">
        <v>186</v>
      </c>
      <c r="C11" s="11"/>
      <c r="D11" s="15">
        <f ca="1">OFFSET(Data!$A$2,$C$3,VLOOKUP($A9&amp;$B11&amp;$C11&amp;$D$7&amp;D$8&amp;E$6&amp;F$6,OFFSET(Setup!$A$8,0,0,Setup!$A$4,2),2,FALSE)*Setup!$A$5+View!$C$5)</f>
        <v>23</v>
      </c>
      <c r="E11" s="16">
        <f ca="1">OFFSET(Data!$A$2,$C$3,VLOOKUP($A9&amp;$B11&amp;$C11&amp;$D$7&amp;E$8&amp;E$6&amp;F$6,OFFSET(Setup!$A$8,0,0,Setup!$A$4,2),2,FALSE)*Setup!$A$5+View!$C$5)</f>
        <v>23</v>
      </c>
      <c r="F11" s="15">
        <f ca="1">OFFSET(Data!$A$2,$C$3,VLOOKUP($A9&amp;$B11&amp;$C11&amp;$F$7&amp;F$8&amp;E$6&amp;F$6,OFFSET(Setup!$A$8,0,0,Setup!$A$4,2),2,FALSE)*Setup!$A$5+View!$C$5)</f>
        <v>23</v>
      </c>
      <c r="G11" s="16">
        <f ca="1">OFFSET(Data!$A$2,$C$3,VLOOKUP($A9&amp;$B11&amp;$C11&amp;$F$7&amp;G$8&amp;E$6&amp;F$6,OFFSET(Setup!$A$8,0,0,Setup!$A$4,2),2,FALSE)*Setup!$A$5+View!$C$5)</f>
        <v>23</v>
      </c>
      <c r="I11" s="15">
        <f ca="1">OFFSET(Data!$A$2,$C$3,VLOOKUP($A9&amp;$B11&amp;$C11&amp;$D$7&amp;I$8&amp;J$6&amp;K$6,OFFSET(Setup!$A$8,0,0,Setup!$A$4,2),2,FALSE)*Setup!$A$5+View!$C$5)</f>
        <v>24</v>
      </c>
      <c r="J11" s="16">
        <f ca="1">OFFSET(Data!$A$2,$C$3,VLOOKUP($A9&amp;$B11&amp;$C11&amp;$D$7&amp;J$8&amp;J$6&amp;K$6,OFFSET(Setup!$A$8,0,0,Setup!$A$4,2),2,FALSE)*Setup!$A$5+View!$C$5)</f>
        <v>24</v>
      </c>
      <c r="K11" s="15">
        <f ca="1">OFFSET(Data!$A$2,$C$3,VLOOKUP($A9&amp;$B11&amp;$C11&amp;$F$7&amp;K$8&amp;J$6&amp;K$6,OFFSET(Setup!$A$8,0,0,Setup!$A$4,2),2,FALSE)*Setup!$A$5+View!$C$5)</f>
        <v>24</v>
      </c>
      <c r="L11" s="16">
        <f ca="1">OFFSET(Data!$A$2,$C$3,VLOOKUP($A9&amp;$B11&amp;$C11&amp;$F$7&amp;L$8&amp;J$6&amp;K$6,OFFSET(Setup!$A$8,0,0,Setup!$A$4,2),2,FALSE)*Setup!$A$5+View!$C$5)</f>
        <v>24</v>
      </c>
      <c r="N11" s="15">
        <f ca="1">OFFSET(Data!$A$2,$C$3,VLOOKUP($A9&amp;$B11&amp;$C11&amp;$D$7&amp;N$8&amp;O$6&amp;P$6,OFFSET(Setup!$A$8,0,0,Setup!$A$4,2),2,FALSE)*Setup!$A$5+View!$C$5)</f>
        <v>25</v>
      </c>
      <c r="O11" s="16">
        <f ca="1">OFFSET(Data!$A$2,$C$3,VLOOKUP($A9&amp;$B11&amp;$C11&amp;$D$7&amp;O$8&amp;O$6&amp;P$6,OFFSET(Setup!$A$8,0,0,Setup!$A$4,2),2,FALSE)*Setup!$A$5+View!$C$5)</f>
        <v>25</v>
      </c>
      <c r="P11" s="15">
        <f ca="1">OFFSET(Data!$A$2,$C$3,VLOOKUP($A9&amp;$B11&amp;$C11&amp;$F$7&amp;P$8&amp;O$6&amp;P$6,OFFSET(Setup!$A$8,0,0,Setup!$A$4,2),2,FALSE)*Setup!$A$5+View!$C$5)</f>
        <v>25</v>
      </c>
      <c r="Q11" s="16">
        <f ca="1">OFFSET(Data!$A$2,$C$3,VLOOKUP($A9&amp;$B11&amp;$C11&amp;$F$7&amp;Q$8&amp;O$6&amp;P$6,OFFSET(Setup!$A$8,0,0,Setup!$A$4,2),2,FALSE)*Setup!$A$5+View!$C$5)</f>
        <v>25</v>
      </c>
      <c r="S11" s="15">
        <f ca="1">OFFSET(Data!$A$2,$C$3,VLOOKUP($A9&amp;$B11&amp;$C11&amp;$D$7&amp;S$8&amp;T$6&amp;U$6,OFFSET(Setup!$A$8,0,0,Setup!$A$4,2),2,FALSE)*Setup!$A$5+View!$C$5)</f>
        <v>23</v>
      </c>
      <c r="T11" s="16">
        <f ca="1">OFFSET(Data!$A$2,$C$3,VLOOKUP($A9&amp;$B11&amp;$C11&amp;$D$7&amp;T$8&amp;T$6&amp;U$6,OFFSET(Setup!$A$8,0,0,Setup!$A$4,2),2,FALSE)*Setup!$A$5+View!$C$5)</f>
        <v>23</v>
      </c>
      <c r="U11" s="15">
        <f ca="1">OFFSET(Data!$A$2,$C$3,VLOOKUP($A9&amp;$B11&amp;$C11&amp;$F$7&amp;U$8&amp;T$6&amp;U$6,OFFSET(Setup!$A$8,0,0,Setup!$A$4,2),2,FALSE)*Setup!$A$5+View!$C$5)</f>
        <v>23</v>
      </c>
      <c r="V11" s="16">
        <f ca="1">OFFSET(Data!$A$2,$C$3,VLOOKUP($A9&amp;$B11&amp;$C11&amp;$F$7&amp;V$8&amp;T$6&amp;U$6,OFFSET(Setup!$A$8,0,0,Setup!$A$4,2),2,FALSE)*Setup!$A$5+View!$C$5)</f>
        <v>23</v>
      </c>
      <c r="X11" s="15">
        <f ca="1">OFFSET(Data!$A$2,$C$3,VLOOKUP($A9&amp;$B11&amp;$C11&amp;$D$7&amp;X$8&amp;Y$6&amp;Z$6,OFFSET(Setup!$A$8,0,0,Setup!$A$4,2),2,FALSE)*Setup!$A$5+View!$C$5)</f>
        <v>24</v>
      </c>
      <c r="Y11" s="16">
        <f ca="1">OFFSET(Data!$A$2,$C$3,VLOOKUP($A9&amp;$B11&amp;$C11&amp;$D$7&amp;Y$8&amp;Y$6&amp;Z$6,OFFSET(Setup!$A$8,0,0,Setup!$A$4,2),2,FALSE)*Setup!$A$5+View!$C$5)</f>
        <v>24</v>
      </c>
      <c r="Z11" s="15">
        <f ca="1">OFFSET(Data!$A$2,$C$3,VLOOKUP($A9&amp;$B11&amp;$C11&amp;$F$7&amp;Z$8&amp;Y$6&amp;Z$6,OFFSET(Setup!$A$8,0,0,Setup!$A$4,2),2,FALSE)*Setup!$A$5+View!$C$5)</f>
        <v>24</v>
      </c>
      <c r="AA11" s="16">
        <f ca="1">OFFSET(Data!$A$2,$C$3,VLOOKUP($A9&amp;$B11&amp;$C11&amp;$F$7&amp;AA$8&amp;Y$6&amp;Z$6,OFFSET(Setup!$A$8,0,0,Setup!$A$4,2),2,FALSE)*Setup!$A$5+View!$C$5)</f>
        <v>24</v>
      </c>
      <c r="AC11" s="15">
        <f ca="1">OFFSET(Data!$A$2,$C$3,VLOOKUP($A9&amp;$B11&amp;$C11&amp;$D$7&amp;AC$8&amp;AD$6&amp;AE$6,OFFSET(Setup!$A$8,0,0,Setup!$A$4,2),2,FALSE)*Setup!$A$5+View!$C$5)</f>
        <v>25</v>
      </c>
      <c r="AD11" s="16">
        <f ca="1">OFFSET(Data!$A$2,$C$3,VLOOKUP($A9&amp;$B11&amp;$C11&amp;$D$7&amp;AD$8&amp;AD$6&amp;AE$6,OFFSET(Setup!$A$8,0,0,Setup!$A$4,2),2,FALSE)*Setup!$A$5+View!$C$5)</f>
        <v>25</v>
      </c>
      <c r="AE11" s="15">
        <f ca="1">OFFSET(Data!$A$2,$C$3,VLOOKUP($A9&amp;$B11&amp;$C11&amp;$F$7&amp;AE$8&amp;AD$6&amp;AE$6,OFFSET(Setup!$A$8,0,0,Setup!$A$4,2),2,FALSE)*Setup!$A$5+View!$C$5)</f>
        <v>25</v>
      </c>
      <c r="AF11" s="16">
        <f ca="1">OFFSET(Data!$A$2,$C$3,VLOOKUP($A9&amp;$B11&amp;$C11&amp;$F$7&amp;AF$8&amp;AD$6&amp;AE$6,OFFSET(Setup!$A$8,0,0,Setup!$A$4,2),2,FALSE)*Setup!$A$5+View!$C$5)</f>
        <v>25</v>
      </c>
      <c r="AH11" s="15">
        <f ca="1">OFFSET(Data!$A$2,$C$3,VLOOKUP($A9&amp;$B11&amp;$C11&amp;$D$7&amp;AH$8&amp;AI$6&amp;AJ$6,OFFSET(Setup!$A$8,0,0,Setup!$A$4,2),2,FALSE)*Setup!$A$5+View!$C$5)</f>
        <v>23</v>
      </c>
      <c r="AI11" s="16">
        <f ca="1">OFFSET(Data!$A$2,$C$3,VLOOKUP($A9&amp;$B11&amp;$C11&amp;$D$7&amp;AI$8&amp;AI$6&amp;AJ$6,OFFSET(Setup!$A$8,0,0,Setup!$A$4,2),2,FALSE)*Setup!$A$5+View!$C$5)</f>
        <v>23</v>
      </c>
      <c r="AJ11" s="15">
        <f ca="1">OFFSET(Data!$A$2,$C$3,VLOOKUP($A9&amp;$B11&amp;$C11&amp;$F$7&amp;AJ$8&amp;AI$6&amp;AJ$6,OFFSET(Setup!$A$8,0,0,Setup!$A$4,2),2,FALSE)*Setup!$A$5+View!$C$5)</f>
        <v>23</v>
      </c>
      <c r="AK11" s="16">
        <f ca="1">OFFSET(Data!$A$2,$C$3,VLOOKUP($A9&amp;$B11&amp;$C11&amp;$F$7&amp;AK$8&amp;AI$6&amp;AJ$6,OFFSET(Setup!$A$8,0,0,Setup!$A$4,2),2,FALSE)*Setup!$A$5+View!$C$5)</f>
        <v>23</v>
      </c>
      <c r="AM11" s="15">
        <f ca="1">OFFSET(Data!$A$2,$C$3,VLOOKUP($A9&amp;$B11&amp;$C11&amp;$D$7&amp;AM$8&amp;AN$6&amp;AO$6,OFFSET(Setup!$A$8,0,0,Setup!$A$4,2),2,FALSE)*Setup!$A$5+View!$C$5)</f>
        <v>24</v>
      </c>
      <c r="AN11" s="16">
        <f ca="1">OFFSET(Data!$A$2,$C$3,VLOOKUP($A9&amp;$B11&amp;$C11&amp;$D$7&amp;AN$8&amp;AN$6&amp;AO$6,OFFSET(Setup!$A$8,0,0,Setup!$A$4,2),2,FALSE)*Setup!$A$5+View!$C$5)</f>
        <v>24</v>
      </c>
      <c r="AO11" s="15">
        <f ca="1">OFFSET(Data!$A$2,$C$3,VLOOKUP($A9&amp;$B11&amp;$C11&amp;$F$7&amp;AO$8&amp;AN$6&amp;AO$6,OFFSET(Setup!$A$8,0,0,Setup!$A$4,2),2,FALSE)*Setup!$A$5+View!$C$5)</f>
        <v>24</v>
      </c>
      <c r="AP11" s="16">
        <f ca="1">OFFSET(Data!$A$2,$C$3,VLOOKUP($A9&amp;$B11&amp;$C11&amp;$F$7&amp;AP$8&amp;AN$6&amp;AO$6,OFFSET(Setup!$A$8,0,0,Setup!$A$4,2),2,FALSE)*Setup!$A$5+View!$C$5)</f>
        <v>24</v>
      </c>
      <c r="AR11" s="15">
        <f ca="1">OFFSET(Data!$A$2,$C$3,VLOOKUP($A9&amp;$B11&amp;$C11&amp;$D$7&amp;AR$8&amp;AS$6&amp;AT$6,OFFSET(Setup!$A$8,0,0,Setup!$A$4,2),2,FALSE)*Setup!$A$5+View!$C$5)</f>
        <v>25</v>
      </c>
      <c r="AS11" s="16">
        <f ca="1">OFFSET(Data!$A$2,$C$3,VLOOKUP($A9&amp;$B11&amp;$C11&amp;$D$7&amp;AS$8&amp;AS$6&amp;AT$6,OFFSET(Setup!$A$8,0,0,Setup!$A$4,2),2,FALSE)*Setup!$A$5+View!$C$5)</f>
        <v>25</v>
      </c>
      <c r="AT11" s="15">
        <f ca="1">OFFSET(Data!$A$2,$C$3,VLOOKUP($A9&amp;$B11&amp;$C11&amp;$F$7&amp;AT$8&amp;AS$6&amp;AT$6,OFFSET(Setup!$A$8,0,0,Setup!$A$4,2),2,FALSE)*Setup!$A$5+View!$C$5)</f>
        <v>25</v>
      </c>
      <c r="AU11" s="16">
        <f ca="1">OFFSET(Data!$A$2,$C$3,VLOOKUP($A9&amp;$B11&amp;$C11&amp;$F$7&amp;AU$8&amp;AS$6&amp;AT$6,OFFSET(Setup!$A$8,0,0,Setup!$A$4,2),2,FALSE)*Setup!$A$5+View!$C$5)</f>
        <v>25</v>
      </c>
    </row>
    <row r="12" spans="1:52" ht="15" customHeight="1" thickBot="1" x14ac:dyDescent="0.35">
      <c r="A12" s="38"/>
      <c r="B12" s="35"/>
      <c r="C12" s="12"/>
      <c r="D12" s="17">
        <f ca="1">OFFSET(Data!$A$2,$C$3,VLOOKUP($A9&amp;$B11&amp;$C12&amp;$D$7&amp;D$8&amp;E$6&amp;F$6,OFFSET(Setup!$A$8,0,0,Setup!$A$4,2),2,FALSE)*Setup!$A$5+View!$C$5)</f>
        <v>23</v>
      </c>
      <c r="E12" s="18">
        <f ca="1">OFFSET(Data!$A$2,$C$3,VLOOKUP($A9&amp;$B11&amp;$C12&amp;$D$7&amp;E$8&amp;E$6&amp;F$6,OFFSET(Setup!$A$8,0,0,Setup!$A$4,2),2,FALSE)*Setup!$A$5+View!$C$5)</f>
        <v>23</v>
      </c>
      <c r="F12" s="17">
        <f ca="1">OFFSET(Data!$A$2,$C$3,VLOOKUP($A9&amp;$B11&amp;$C12&amp;$F$7&amp;F$8&amp;E$6&amp;F$6,OFFSET(Setup!$A$8,0,0,Setup!$A$4,2),2,FALSE)*Setup!$A$5+View!$C$5)</f>
        <v>23</v>
      </c>
      <c r="G12" s="18">
        <f ca="1">OFFSET(Data!$A$2,$C$3,VLOOKUP($A9&amp;$B11&amp;$C12&amp;$F$7&amp;G$8&amp;E$6&amp;F$6,OFFSET(Setup!$A$8,0,0,Setup!$A$4,2),2,FALSE)*Setup!$A$5+View!$C$5)</f>
        <v>23</v>
      </c>
      <c r="I12" s="17">
        <f ca="1">OFFSET(Data!$A$2,$C$3,VLOOKUP($A9&amp;$B11&amp;$C12&amp;$D$7&amp;I$8&amp;J$6&amp;K$6,OFFSET(Setup!$A$8,0,0,Setup!$A$4,2),2,FALSE)*Setup!$A$5+View!$C$5)</f>
        <v>24</v>
      </c>
      <c r="J12" s="18">
        <f ca="1">OFFSET(Data!$A$2,$C$3,VLOOKUP($A9&amp;$B11&amp;$C12&amp;$D$7&amp;J$8&amp;J$6&amp;K$6,OFFSET(Setup!$A$8,0,0,Setup!$A$4,2),2,FALSE)*Setup!$A$5+View!$C$5)</f>
        <v>24</v>
      </c>
      <c r="K12" s="17">
        <f ca="1">OFFSET(Data!$A$2,$C$3,VLOOKUP($A9&amp;$B11&amp;$C12&amp;$F$7&amp;K$8&amp;J$6&amp;K$6,OFFSET(Setup!$A$8,0,0,Setup!$A$4,2),2,FALSE)*Setup!$A$5+View!$C$5)</f>
        <v>24</v>
      </c>
      <c r="L12" s="18">
        <f ca="1">OFFSET(Data!$A$2,$C$3,VLOOKUP($A9&amp;$B11&amp;$C12&amp;$F$7&amp;L$8&amp;J$6&amp;K$6,OFFSET(Setup!$A$8,0,0,Setup!$A$4,2),2,FALSE)*Setup!$A$5+View!$C$5)</f>
        <v>24</v>
      </c>
      <c r="N12" s="17">
        <f ca="1">OFFSET(Data!$A$2,$C$3,VLOOKUP($A9&amp;$B11&amp;$C12&amp;$D$7&amp;N$8&amp;O$6&amp;P$6,OFFSET(Setup!$A$8,0,0,Setup!$A$4,2),2,FALSE)*Setup!$A$5+View!$C$5)</f>
        <v>25</v>
      </c>
      <c r="O12" s="18">
        <f ca="1">OFFSET(Data!$A$2,$C$3,VLOOKUP($A9&amp;$B11&amp;$C12&amp;$D$7&amp;O$8&amp;O$6&amp;P$6,OFFSET(Setup!$A$8,0,0,Setup!$A$4,2),2,FALSE)*Setup!$A$5+View!$C$5)</f>
        <v>25</v>
      </c>
      <c r="P12" s="17">
        <f ca="1">OFFSET(Data!$A$2,$C$3,VLOOKUP($A9&amp;$B11&amp;$C12&amp;$F$7&amp;P$8&amp;O$6&amp;P$6,OFFSET(Setup!$A$8,0,0,Setup!$A$4,2),2,FALSE)*Setup!$A$5+View!$C$5)</f>
        <v>25</v>
      </c>
      <c r="Q12" s="18">
        <f ca="1">OFFSET(Data!$A$2,$C$3,VLOOKUP($A9&amp;$B11&amp;$C12&amp;$F$7&amp;Q$8&amp;O$6&amp;P$6,OFFSET(Setup!$A$8,0,0,Setup!$A$4,2),2,FALSE)*Setup!$A$5+View!$C$5)</f>
        <v>25</v>
      </c>
      <c r="S12" s="17">
        <f ca="1">OFFSET(Data!$A$2,$C$3,VLOOKUP($A9&amp;$B11&amp;$C12&amp;$D$7&amp;S$8&amp;T$6&amp;U$6,OFFSET(Setup!$A$8,0,0,Setup!$A$4,2),2,FALSE)*Setup!$A$5+View!$C$5)</f>
        <v>23</v>
      </c>
      <c r="T12" s="18">
        <f ca="1">OFFSET(Data!$A$2,$C$3,VLOOKUP($A9&amp;$B11&amp;$C12&amp;$D$7&amp;T$8&amp;T$6&amp;U$6,OFFSET(Setup!$A$8,0,0,Setup!$A$4,2),2,FALSE)*Setup!$A$5+View!$C$5)</f>
        <v>23</v>
      </c>
      <c r="U12" s="17">
        <f ca="1">OFFSET(Data!$A$2,$C$3,VLOOKUP($A9&amp;$B11&amp;$C12&amp;$F$7&amp;U$8&amp;T$6&amp;U$6,OFFSET(Setup!$A$8,0,0,Setup!$A$4,2),2,FALSE)*Setup!$A$5+View!$C$5)</f>
        <v>23</v>
      </c>
      <c r="V12" s="18">
        <f ca="1">OFFSET(Data!$A$2,$C$3,VLOOKUP($A9&amp;$B11&amp;$C12&amp;$F$7&amp;V$8&amp;T$6&amp;U$6,OFFSET(Setup!$A$8,0,0,Setup!$A$4,2),2,FALSE)*Setup!$A$5+View!$C$5)</f>
        <v>23</v>
      </c>
      <c r="X12" s="17">
        <f ca="1">OFFSET(Data!$A$2,$C$3,VLOOKUP($A9&amp;$B11&amp;$C12&amp;$D$7&amp;X$8&amp;Y$6&amp;Z$6,OFFSET(Setup!$A$8,0,0,Setup!$A$4,2),2,FALSE)*Setup!$A$5+View!$C$5)</f>
        <v>24</v>
      </c>
      <c r="Y12" s="18">
        <f ca="1">OFFSET(Data!$A$2,$C$3,VLOOKUP($A9&amp;$B11&amp;$C12&amp;$D$7&amp;Y$8&amp;Y$6&amp;Z$6,OFFSET(Setup!$A$8,0,0,Setup!$A$4,2),2,FALSE)*Setup!$A$5+View!$C$5)</f>
        <v>24</v>
      </c>
      <c r="Z12" s="17">
        <f ca="1">OFFSET(Data!$A$2,$C$3,VLOOKUP($A9&amp;$B11&amp;$C12&amp;$F$7&amp;Z$8&amp;Y$6&amp;Z$6,OFFSET(Setup!$A$8,0,0,Setup!$A$4,2),2,FALSE)*Setup!$A$5+View!$C$5)</f>
        <v>24</v>
      </c>
      <c r="AA12" s="18">
        <f ca="1">OFFSET(Data!$A$2,$C$3,VLOOKUP($A9&amp;$B11&amp;$C12&amp;$F$7&amp;AA$8&amp;Y$6&amp;Z$6,OFFSET(Setup!$A$8,0,0,Setup!$A$4,2),2,FALSE)*Setup!$A$5+View!$C$5)</f>
        <v>24</v>
      </c>
      <c r="AC12" s="17">
        <f ca="1">OFFSET(Data!$A$2,$C$3,VLOOKUP($A9&amp;$B11&amp;$C12&amp;$D$7&amp;AC$8&amp;AD$6&amp;AE$6,OFFSET(Setup!$A$8,0,0,Setup!$A$4,2),2,FALSE)*Setup!$A$5+View!$C$5)</f>
        <v>25</v>
      </c>
      <c r="AD12" s="18">
        <f ca="1">OFFSET(Data!$A$2,$C$3,VLOOKUP($A9&amp;$B11&amp;$C12&amp;$D$7&amp;AD$8&amp;AD$6&amp;AE$6,OFFSET(Setup!$A$8,0,0,Setup!$A$4,2),2,FALSE)*Setup!$A$5+View!$C$5)</f>
        <v>25</v>
      </c>
      <c r="AE12" s="17">
        <f ca="1">OFFSET(Data!$A$2,$C$3,VLOOKUP($A9&amp;$B11&amp;$C12&amp;$F$7&amp;AE$8&amp;AD$6&amp;AE$6,OFFSET(Setup!$A$8,0,0,Setup!$A$4,2),2,FALSE)*Setup!$A$5+View!$C$5)</f>
        <v>25</v>
      </c>
      <c r="AF12" s="18">
        <f ca="1">OFFSET(Data!$A$2,$C$3,VLOOKUP($A9&amp;$B11&amp;$C12&amp;$F$7&amp;AF$8&amp;AD$6&amp;AE$6,OFFSET(Setup!$A$8,0,0,Setup!$A$4,2),2,FALSE)*Setup!$A$5+View!$C$5)</f>
        <v>25</v>
      </c>
      <c r="AH12" s="17">
        <f ca="1">OFFSET(Data!$A$2,$C$3,VLOOKUP($A9&amp;$B11&amp;$C12&amp;$D$7&amp;AH$8&amp;AI$6&amp;AJ$6,OFFSET(Setup!$A$8,0,0,Setup!$A$4,2),2,FALSE)*Setup!$A$5+View!$C$5)</f>
        <v>23</v>
      </c>
      <c r="AI12" s="18">
        <f ca="1">OFFSET(Data!$A$2,$C$3,VLOOKUP($A9&amp;$B11&amp;$C12&amp;$D$7&amp;AI$8&amp;AI$6&amp;AJ$6,OFFSET(Setup!$A$8,0,0,Setup!$A$4,2),2,FALSE)*Setup!$A$5+View!$C$5)</f>
        <v>23</v>
      </c>
      <c r="AJ12" s="17">
        <f ca="1">OFFSET(Data!$A$2,$C$3,VLOOKUP($A9&amp;$B11&amp;$C12&amp;$F$7&amp;AJ$8&amp;AI$6&amp;AJ$6,OFFSET(Setup!$A$8,0,0,Setup!$A$4,2),2,FALSE)*Setup!$A$5+View!$C$5)</f>
        <v>23</v>
      </c>
      <c r="AK12" s="18">
        <f ca="1">OFFSET(Data!$A$2,$C$3,VLOOKUP($A9&amp;$B11&amp;$C12&amp;$F$7&amp;AK$8&amp;AI$6&amp;AJ$6,OFFSET(Setup!$A$8,0,0,Setup!$A$4,2),2,FALSE)*Setup!$A$5+View!$C$5)</f>
        <v>23</v>
      </c>
      <c r="AM12" s="17">
        <f ca="1">OFFSET(Data!$A$2,$C$3,VLOOKUP($A9&amp;$B11&amp;$C12&amp;$D$7&amp;AM$8&amp;AN$6&amp;AO$6,OFFSET(Setup!$A$8,0,0,Setup!$A$4,2),2,FALSE)*Setup!$A$5+View!$C$5)</f>
        <v>24</v>
      </c>
      <c r="AN12" s="18">
        <f ca="1">OFFSET(Data!$A$2,$C$3,VLOOKUP($A9&amp;$B11&amp;$C12&amp;$D$7&amp;AN$8&amp;AN$6&amp;AO$6,OFFSET(Setup!$A$8,0,0,Setup!$A$4,2),2,FALSE)*Setup!$A$5+View!$C$5)</f>
        <v>24</v>
      </c>
      <c r="AO12" s="17">
        <f ca="1">OFFSET(Data!$A$2,$C$3,VLOOKUP($A9&amp;$B11&amp;$C12&amp;$F$7&amp;AO$8&amp;AN$6&amp;AO$6,OFFSET(Setup!$A$8,0,0,Setup!$A$4,2),2,FALSE)*Setup!$A$5+View!$C$5)</f>
        <v>24</v>
      </c>
      <c r="AP12" s="18">
        <f ca="1">OFFSET(Data!$A$2,$C$3,VLOOKUP($A9&amp;$B11&amp;$C12&amp;$F$7&amp;AP$8&amp;AN$6&amp;AO$6,OFFSET(Setup!$A$8,0,0,Setup!$A$4,2),2,FALSE)*Setup!$A$5+View!$C$5)</f>
        <v>24</v>
      </c>
      <c r="AR12" s="17">
        <f ca="1">OFFSET(Data!$A$2,$C$3,VLOOKUP($A9&amp;$B11&amp;$C12&amp;$D$7&amp;AR$8&amp;AS$6&amp;AT$6,OFFSET(Setup!$A$8,0,0,Setup!$A$4,2),2,FALSE)*Setup!$A$5+View!$C$5)</f>
        <v>25</v>
      </c>
      <c r="AS12" s="18">
        <f ca="1">OFFSET(Data!$A$2,$C$3,VLOOKUP($A9&amp;$B11&amp;$C12&amp;$D$7&amp;AS$8&amp;AS$6&amp;AT$6,OFFSET(Setup!$A$8,0,0,Setup!$A$4,2),2,FALSE)*Setup!$A$5+View!$C$5)</f>
        <v>25</v>
      </c>
      <c r="AT12" s="17">
        <f ca="1">OFFSET(Data!$A$2,$C$3,VLOOKUP($A9&amp;$B11&amp;$C12&amp;$F$7&amp;AT$8&amp;AS$6&amp;AT$6,OFFSET(Setup!$A$8,0,0,Setup!$A$4,2),2,FALSE)*Setup!$A$5+View!$C$5)</f>
        <v>25</v>
      </c>
      <c r="AU12" s="18">
        <f ca="1">OFFSET(Data!$A$2,$C$3,VLOOKUP($A9&amp;$B11&amp;$C12&amp;$F$7&amp;AU$8&amp;AS$6&amp;AT$6,OFFSET(Setup!$A$8,0,0,Setup!$A$4,2),2,FALSE)*Setup!$A$5+View!$C$5)</f>
        <v>25</v>
      </c>
    </row>
    <row r="13" spans="1:52" ht="15.75" customHeight="1" thickBot="1" x14ac:dyDescent="0.35">
      <c r="A13" s="36" t="s">
        <v>187</v>
      </c>
      <c r="B13" s="39" t="s">
        <v>185</v>
      </c>
      <c r="C13" s="10"/>
      <c r="D13" s="13">
        <f ca="1">OFFSET(Data!$A$2,$C$3,VLOOKUP($A13&amp;$B13&amp;$C13&amp;$D$7&amp;D$8&amp;E$6&amp;F$6,OFFSET(Setup!$A$8,0,0,Setup!$A$4,2),2,FALSE)*Setup!$A$5+View!$C$5)</f>
        <v>23</v>
      </c>
      <c r="E13" s="14">
        <f ca="1">OFFSET(Data!$A$2,$C$3,VLOOKUP($A13&amp;$B13&amp;$C13&amp;$D$7&amp;E$8&amp;E$6&amp;F$6,OFFSET(Setup!$A$8,0,0,Setup!$A$4,2),2,FALSE)*Setup!$A$5+View!$C$5)</f>
        <v>23</v>
      </c>
      <c r="F13" s="13">
        <f ca="1">OFFSET(Data!$A$2,$C$3,VLOOKUP($A13&amp;$B13&amp;$C13&amp;$F$7&amp;F$8&amp;E$6&amp;F$6,OFFSET(Setup!$A$8,0,0,Setup!$A$4,2),2,FALSE)*Setup!$A$5+View!$C$5)</f>
        <v>23</v>
      </c>
      <c r="G13" s="14">
        <f ca="1">OFFSET(Data!$A$2,$C$3,VLOOKUP($A13&amp;$B13&amp;$C13&amp;$F$7&amp;G$8&amp;E$6&amp;F$6,OFFSET(Setup!$A$8,0,0,Setup!$A$4,2),2,FALSE)*Setup!$A$5+View!$C$5)</f>
        <v>23</v>
      </c>
      <c r="I13" s="13">
        <f ca="1">OFFSET(Data!$A$2,$C$3,VLOOKUP($A13&amp;$B13&amp;$C13&amp;$D$7&amp;I$8&amp;J$6&amp;K$6,OFFSET(Setup!$A$8,0,0,Setup!$A$4,2),2,FALSE)*Setup!$A$5+View!$C$5)</f>
        <v>24</v>
      </c>
      <c r="J13" s="14">
        <f ca="1">OFFSET(Data!$A$2,$C$3,VLOOKUP($A13&amp;$B13&amp;$C13&amp;$D$7&amp;J$8&amp;J$6&amp;K$6,OFFSET(Setup!$A$8,0,0,Setup!$A$4,2),2,FALSE)*Setup!$A$5+View!$C$5)</f>
        <v>24</v>
      </c>
      <c r="K13" s="13">
        <f ca="1">OFFSET(Data!$A$2,$C$3,VLOOKUP($A13&amp;$B13&amp;$C13&amp;$F$7&amp;K$8&amp;J$6&amp;K$6,OFFSET(Setup!$A$8,0,0,Setup!$A$4,2),2,FALSE)*Setup!$A$5+View!$C$5)</f>
        <v>24</v>
      </c>
      <c r="L13" s="14">
        <f ca="1">OFFSET(Data!$A$2,$C$3,VLOOKUP($A13&amp;$B13&amp;$C13&amp;$F$7&amp;L$8&amp;J$6&amp;K$6,OFFSET(Setup!$A$8,0,0,Setup!$A$4,2),2,FALSE)*Setup!$A$5+View!$C$5)</f>
        <v>24</v>
      </c>
      <c r="N13" s="13">
        <f ca="1">OFFSET(Data!$A$2,$C$3,VLOOKUP($A13&amp;$B13&amp;$C13&amp;$D$7&amp;N$8&amp;O$6&amp;P$6,OFFSET(Setup!$A$8,0,0,Setup!$A$4,2),2,FALSE)*Setup!$A$5+View!$C$5)</f>
        <v>25</v>
      </c>
      <c r="O13" s="14">
        <f ca="1">OFFSET(Data!$A$2,$C$3,VLOOKUP($A13&amp;$B13&amp;$C13&amp;$D$7&amp;O$8&amp;O$6&amp;P$6,OFFSET(Setup!$A$8,0,0,Setup!$A$4,2),2,FALSE)*Setup!$A$5+View!$C$5)</f>
        <v>25</v>
      </c>
      <c r="P13" s="13">
        <f ca="1">OFFSET(Data!$A$2,$C$3,VLOOKUP($A13&amp;$B13&amp;$C13&amp;$F$7&amp;P$8&amp;O$6&amp;P$6,OFFSET(Setup!$A$8,0,0,Setup!$A$4,2),2,FALSE)*Setup!$A$5+View!$C$5)</f>
        <v>25</v>
      </c>
      <c r="Q13" s="14">
        <f ca="1">OFFSET(Data!$A$2,$C$3,VLOOKUP($A13&amp;$B13&amp;$C13&amp;$F$7&amp;Q$8&amp;O$6&amp;P$6,OFFSET(Setup!$A$8,0,0,Setup!$A$4,2),2,FALSE)*Setup!$A$5+View!$C$5)</f>
        <v>25</v>
      </c>
      <c r="S13" s="13">
        <f ca="1">OFFSET(Data!$A$2,$C$3,VLOOKUP($A13&amp;$B13&amp;$C13&amp;$D$7&amp;S$8&amp;T$6&amp;U$6,OFFSET(Setup!$A$8,0,0,Setup!$A$4,2),2,FALSE)*Setup!$A$5+View!$C$5)</f>
        <v>23</v>
      </c>
      <c r="T13" s="14">
        <f ca="1">OFFSET(Data!$A$2,$C$3,VLOOKUP($A13&amp;$B13&amp;$C13&amp;$D$7&amp;T$8&amp;T$6&amp;U$6,OFFSET(Setup!$A$8,0,0,Setup!$A$4,2),2,FALSE)*Setup!$A$5+View!$C$5)</f>
        <v>23</v>
      </c>
      <c r="U13" s="13">
        <f ca="1">OFFSET(Data!$A$2,$C$3,VLOOKUP($A13&amp;$B13&amp;$C13&amp;$F$7&amp;U$8&amp;T$6&amp;U$6,OFFSET(Setup!$A$8,0,0,Setup!$A$4,2),2,FALSE)*Setup!$A$5+View!$C$5)</f>
        <v>23</v>
      </c>
      <c r="V13" s="14">
        <f ca="1">OFFSET(Data!$A$2,$C$3,VLOOKUP($A13&amp;$B13&amp;$C13&amp;$F$7&amp;V$8&amp;T$6&amp;U$6,OFFSET(Setup!$A$8,0,0,Setup!$A$4,2),2,FALSE)*Setup!$A$5+View!$C$5)</f>
        <v>23</v>
      </c>
      <c r="X13" s="13">
        <f ca="1">OFFSET(Data!$A$2,$C$3,VLOOKUP($A13&amp;$B13&amp;$C13&amp;$D$7&amp;X$8&amp;Y$6&amp;Z$6,OFFSET(Setup!$A$8,0,0,Setup!$A$4,2),2,FALSE)*Setup!$A$5+View!$C$5)</f>
        <v>24</v>
      </c>
      <c r="Y13" s="14">
        <f ca="1">OFFSET(Data!$A$2,$C$3,VLOOKUP($A13&amp;$B13&amp;$C13&amp;$D$7&amp;Y$8&amp;Y$6&amp;Z$6,OFFSET(Setup!$A$8,0,0,Setup!$A$4,2),2,FALSE)*Setup!$A$5+View!$C$5)</f>
        <v>24</v>
      </c>
      <c r="Z13" s="13">
        <f ca="1">OFFSET(Data!$A$2,$C$3,VLOOKUP($A13&amp;$B13&amp;$C13&amp;$F$7&amp;Z$8&amp;Y$6&amp;Z$6,OFFSET(Setup!$A$8,0,0,Setup!$A$4,2),2,FALSE)*Setup!$A$5+View!$C$5)</f>
        <v>24</v>
      </c>
      <c r="AA13" s="14">
        <f ca="1">OFFSET(Data!$A$2,$C$3,VLOOKUP($A13&amp;$B13&amp;$C13&amp;$F$7&amp;AA$8&amp;Y$6&amp;Z$6,OFFSET(Setup!$A$8,0,0,Setup!$A$4,2),2,FALSE)*Setup!$A$5+View!$C$5)</f>
        <v>24</v>
      </c>
      <c r="AC13" s="13">
        <f ca="1">OFFSET(Data!$A$2,$C$3,VLOOKUP($A13&amp;$B13&amp;$C13&amp;$D$7&amp;AC$8&amp;AD$6&amp;AE$6,OFFSET(Setup!$A$8,0,0,Setup!$A$4,2),2,FALSE)*Setup!$A$5+View!$C$5)</f>
        <v>25</v>
      </c>
      <c r="AD13" s="14">
        <f ca="1">OFFSET(Data!$A$2,$C$3,VLOOKUP($A13&amp;$B13&amp;$C13&amp;$D$7&amp;AD$8&amp;AD$6&amp;AE$6,OFFSET(Setup!$A$8,0,0,Setup!$A$4,2),2,FALSE)*Setup!$A$5+View!$C$5)</f>
        <v>25</v>
      </c>
      <c r="AE13" s="13">
        <f ca="1">OFFSET(Data!$A$2,$C$3,VLOOKUP($A13&amp;$B13&amp;$C13&amp;$F$7&amp;AE$8&amp;AD$6&amp;AE$6,OFFSET(Setup!$A$8,0,0,Setup!$A$4,2),2,FALSE)*Setup!$A$5+View!$C$5)</f>
        <v>25</v>
      </c>
      <c r="AF13" s="14">
        <f ca="1">OFFSET(Data!$A$2,$C$3,VLOOKUP($A13&amp;$B13&amp;$C13&amp;$F$7&amp;AF$8&amp;AD$6&amp;AE$6,OFFSET(Setup!$A$8,0,0,Setup!$A$4,2),2,FALSE)*Setup!$A$5+View!$C$5)</f>
        <v>25</v>
      </c>
      <c r="AH13" s="13">
        <f ca="1">OFFSET(Data!$A$2,$C$3,VLOOKUP($A13&amp;$B13&amp;$C13&amp;$D$7&amp;AH$8&amp;AI$6&amp;AJ$6,OFFSET(Setup!$A$8,0,0,Setup!$A$4,2),2,FALSE)*Setup!$A$5+View!$C$5)</f>
        <v>23</v>
      </c>
      <c r="AI13" s="14">
        <f ca="1">OFFSET(Data!$A$2,$C$3,VLOOKUP($A13&amp;$B13&amp;$C13&amp;$D$7&amp;AI$8&amp;AI$6&amp;AJ$6,OFFSET(Setup!$A$8,0,0,Setup!$A$4,2),2,FALSE)*Setup!$A$5+View!$C$5)</f>
        <v>23</v>
      </c>
      <c r="AJ13" s="13">
        <f ca="1">OFFSET(Data!$A$2,$C$3,VLOOKUP($A13&amp;$B13&amp;$C13&amp;$F$7&amp;AJ$8&amp;AI$6&amp;AJ$6,OFFSET(Setup!$A$8,0,0,Setup!$A$4,2),2,FALSE)*Setup!$A$5+View!$C$5)</f>
        <v>23</v>
      </c>
      <c r="AK13" s="14">
        <f ca="1">OFFSET(Data!$A$2,$C$3,VLOOKUP($A13&amp;$B13&amp;$C13&amp;$F$7&amp;AK$8&amp;AI$6&amp;AJ$6,OFFSET(Setup!$A$8,0,0,Setup!$A$4,2),2,FALSE)*Setup!$A$5+View!$C$5)</f>
        <v>23</v>
      </c>
      <c r="AM13" s="13">
        <f ca="1">OFFSET(Data!$A$2,$C$3,VLOOKUP($A13&amp;$B13&amp;$C13&amp;$D$7&amp;AM$8&amp;AN$6&amp;AO$6,OFFSET(Setup!$A$8,0,0,Setup!$A$4,2),2,FALSE)*Setup!$A$5+View!$C$5)</f>
        <v>24</v>
      </c>
      <c r="AN13" s="14">
        <f ca="1">OFFSET(Data!$A$2,$C$3,VLOOKUP($A13&amp;$B13&amp;$C13&amp;$D$7&amp;AN$8&amp;AN$6&amp;AO$6,OFFSET(Setup!$A$8,0,0,Setup!$A$4,2),2,FALSE)*Setup!$A$5+View!$C$5)</f>
        <v>24</v>
      </c>
      <c r="AO13" s="13">
        <f ca="1">OFFSET(Data!$A$2,$C$3,VLOOKUP($A13&amp;$B13&amp;$C13&amp;$F$7&amp;AO$8&amp;AN$6&amp;AO$6,OFFSET(Setup!$A$8,0,0,Setup!$A$4,2),2,FALSE)*Setup!$A$5+View!$C$5)</f>
        <v>24</v>
      </c>
      <c r="AP13" s="14">
        <f ca="1">OFFSET(Data!$A$2,$C$3,VLOOKUP($A13&amp;$B13&amp;$C13&amp;$F$7&amp;AP$8&amp;AN$6&amp;AO$6,OFFSET(Setup!$A$8,0,0,Setup!$A$4,2),2,FALSE)*Setup!$A$5+View!$C$5)</f>
        <v>24</v>
      </c>
      <c r="AR13" s="13">
        <f ca="1">OFFSET(Data!$A$2,$C$3,VLOOKUP($A13&amp;$B13&amp;$C13&amp;$D$7&amp;AR$8&amp;AS$6&amp;AT$6,OFFSET(Setup!$A$8,0,0,Setup!$A$4,2),2,FALSE)*Setup!$A$5+View!$C$5)</f>
        <v>25</v>
      </c>
      <c r="AS13" s="14">
        <f ca="1">OFFSET(Data!$A$2,$C$3,VLOOKUP($A13&amp;$B13&amp;$C13&amp;$D$7&amp;AS$8&amp;AS$6&amp;AT$6,OFFSET(Setup!$A$8,0,0,Setup!$A$4,2),2,FALSE)*Setup!$A$5+View!$C$5)</f>
        <v>25</v>
      </c>
      <c r="AT13" s="13">
        <f ca="1">OFFSET(Data!$A$2,$C$3,VLOOKUP($A13&amp;$B13&amp;$C13&amp;$F$7&amp;AT$8&amp;AS$6&amp;AT$6,OFFSET(Setup!$A$8,0,0,Setup!$A$4,2),2,FALSE)*Setup!$A$5+View!$C$5)</f>
        <v>25</v>
      </c>
      <c r="AU13" s="14">
        <f ca="1">OFFSET(Data!$A$2,$C$3,VLOOKUP($A13&amp;$B13&amp;$C13&amp;$F$7&amp;AU$8&amp;AS$6&amp;AT$6,OFFSET(Setup!$A$8,0,0,Setup!$A$4,2),2,FALSE)*Setup!$A$5+View!$C$5)</f>
        <v>25</v>
      </c>
    </row>
    <row r="14" spans="1:52" x14ac:dyDescent="0.3">
      <c r="A14" s="37"/>
      <c r="B14" s="33"/>
      <c r="C14" s="11"/>
      <c r="D14" s="15">
        <f ca="1">OFFSET(Data!$A$2,$C$3,VLOOKUP($A13&amp;$B13&amp;$C14&amp;$D$7&amp;D$8&amp;E$6&amp;F$6,OFFSET(Setup!$A$8,0,0,Setup!$A$4,2),2,FALSE)*Setup!$A$5+View!$C$5)</f>
        <v>23</v>
      </c>
      <c r="E14" s="16">
        <f ca="1">OFFSET(Data!$A$2,$C$3,VLOOKUP($A13&amp;$B13&amp;$C14&amp;$D$7&amp;E$8&amp;E$6&amp;F$6,OFFSET(Setup!$A$8,0,0,Setup!$A$4,2),2,FALSE)*Setup!$A$5+View!$C$5)</f>
        <v>23</v>
      </c>
      <c r="F14" s="15">
        <f ca="1">OFFSET(Data!$A$2,$C$3,VLOOKUP($A13&amp;$B13&amp;$C14&amp;$F$7&amp;F$8&amp;E$6&amp;F$6,OFFSET(Setup!$A$8,0,0,Setup!$A$4,2),2,FALSE)*Setup!$A$5+View!$C$5)</f>
        <v>23</v>
      </c>
      <c r="G14" s="16">
        <f ca="1">OFFSET(Data!$A$2,$C$3,VLOOKUP($A13&amp;$B13&amp;$C14&amp;$F$7&amp;G$8&amp;E$6&amp;F$6,OFFSET(Setup!$A$8,0,0,Setup!$A$4,2),2,FALSE)*Setup!$A$5+View!$C$5)</f>
        <v>23</v>
      </c>
      <c r="I14" s="15">
        <f ca="1">OFFSET(Data!$A$2,$C$3,VLOOKUP($A13&amp;$B13&amp;$C14&amp;$D$7&amp;I$8&amp;J$6&amp;K$6,OFFSET(Setup!$A$8,0,0,Setup!$A$4,2),2,FALSE)*Setup!$A$5+View!$C$5)</f>
        <v>24</v>
      </c>
      <c r="J14" s="16">
        <f ca="1">OFFSET(Data!$A$2,$C$3,VLOOKUP($A13&amp;$B13&amp;$C14&amp;$D$7&amp;J$8&amp;J$6&amp;K$6,OFFSET(Setup!$A$8,0,0,Setup!$A$4,2),2,FALSE)*Setup!$A$5+View!$C$5)</f>
        <v>24</v>
      </c>
      <c r="K14" s="15">
        <f ca="1">OFFSET(Data!$A$2,$C$3,VLOOKUP($A13&amp;$B13&amp;$C14&amp;$F$7&amp;K$8&amp;J$6&amp;K$6,OFFSET(Setup!$A$8,0,0,Setup!$A$4,2),2,FALSE)*Setup!$A$5+View!$C$5)</f>
        <v>24</v>
      </c>
      <c r="L14" s="16">
        <f ca="1">OFFSET(Data!$A$2,$C$3,VLOOKUP($A13&amp;$B13&amp;$C14&amp;$F$7&amp;L$8&amp;J$6&amp;K$6,OFFSET(Setup!$A$8,0,0,Setup!$A$4,2),2,FALSE)*Setup!$A$5+View!$C$5)</f>
        <v>24</v>
      </c>
      <c r="N14" s="15">
        <f ca="1">OFFSET(Data!$A$2,$C$3,VLOOKUP($A13&amp;$B13&amp;$C14&amp;$D$7&amp;N$8&amp;O$6&amp;P$6,OFFSET(Setup!$A$8,0,0,Setup!$A$4,2),2,FALSE)*Setup!$A$5+View!$C$5)</f>
        <v>25</v>
      </c>
      <c r="O14" s="16">
        <f ca="1">OFFSET(Data!$A$2,$C$3,VLOOKUP($A13&amp;$B13&amp;$C14&amp;$D$7&amp;O$8&amp;O$6&amp;P$6,OFFSET(Setup!$A$8,0,0,Setup!$A$4,2),2,FALSE)*Setup!$A$5+View!$C$5)</f>
        <v>25</v>
      </c>
      <c r="P14" s="15">
        <f ca="1">OFFSET(Data!$A$2,$C$3,VLOOKUP($A13&amp;$B13&amp;$C14&amp;$F$7&amp;P$8&amp;O$6&amp;P$6,OFFSET(Setup!$A$8,0,0,Setup!$A$4,2),2,FALSE)*Setup!$A$5+View!$C$5)</f>
        <v>25</v>
      </c>
      <c r="Q14" s="16">
        <f ca="1">OFFSET(Data!$A$2,$C$3,VLOOKUP($A13&amp;$B13&amp;$C14&amp;$F$7&amp;Q$8&amp;O$6&amp;P$6,OFFSET(Setup!$A$8,0,0,Setup!$A$4,2),2,FALSE)*Setup!$A$5+View!$C$5)</f>
        <v>25</v>
      </c>
      <c r="S14" s="15">
        <f ca="1">OFFSET(Data!$A$2,$C$3,VLOOKUP($A13&amp;$B13&amp;$C14&amp;$D$7&amp;S$8&amp;T$6&amp;U$6,OFFSET(Setup!$A$8,0,0,Setup!$A$4,2),2,FALSE)*Setup!$A$5+View!$C$5)</f>
        <v>23</v>
      </c>
      <c r="T14" s="16">
        <f ca="1">OFFSET(Data!$A$2,$C$3,VLOOKUP($A13&amp;$B13&amp;$C14&amp;$D$7&amp;T$8&amp;T$6&amp;U$6,OFFSET(Setup!$A$8,0,0,Setup!$A$4,2),2,FALSE)*Setup!$A$5+View!$C$5)</f>
        <v>23</v>
      </c>
      <c r="U14" s="15">
        <f ca="1">OFFSET(Data!$A$2,$C$3,VLOOKUP($A13&amp;$B13&amp;$C14&amp;$F$7&amp;U$8&amp;T$6&amp;U$6,OFFSET(Setup!$A$8,0,0,Setup!$A$4,2),2,FALSE)*Setup!$A$5+View!$C$5)</f>
        <v>23</v>
      </c>
      <c r="V14" s="16">
        <f ca="1">OFFSET(Data!$A$2,$C$3,VLOOKUP($A13&amp;$B13&amp;$C14&amp;$F$7&amp;V$8&amp;T$6&amp;U$6,OFFSET(Setup!$A$8,0,0,Setup!$A$4,2),2,FALSE)*Setup!$A$5+View!$C$5)</f>
        <v>23</v>
      </c>
      <c r="X14" s="15">
        <f ca="1">OFFSET(Data!$A$2,$C$3,VLOOKUP($A13&amp;$B13&amp;$C14&amp;$D$7&amp;X$8&amp;Y$6&amp;Z$6,OFFSET(Setup!$A$8,0,0,Setup!$A$4,2),2,FALSE)*Setup!$A$5+View!$C$5)</f>
        <v>24</v>
      </c>
      <c r="Y14" s="16">
        <f ca="1">OFFSET(Data!$A$2,$C$3,VLOOKUP($A13&amp;$B13&amp;$C14&amp;$D$7&amp;Y$8&amp;Y$6&amp;Z$6,OFFSET(Setup!$A$8,0,0,Setup!$A$4,2),2,FALSE)*Setup!$A$5+View!$C$5)</f>
        <v>24</v>
      </c>
      <c r="Z14" s="15">
        <f ca="1">OFFSET(Data!$A$2,$C$3,VLOOKUP($A13&amp;$B13&amp;$C14&amp;$F$7&amp;Z$8&amp;Y$6&amp;Z$6,OFFSET(Setup!$A$8,0,0,Setup!$A$4,2),2,FALSE)*Setup!$A$5+View!$C$5)</f>
        <v>24</v>
      </c>
      <c r="AA14" s="16">
        <f ca="1">OFFSET(Data!$A$2,$C$3,VLOOKUP($A13&amp;$B13&amp;$C14&amp;$F$7&amp;AA$8&amp;Y$6&amp;Z$6,OFFSET(Setup!$A$8,0,0,Setup!$A$4,2),2,FALSE)*Setup!$A$5+View!$C$5)</f>
        <v>24</v>
      </c>
      <c r="AC14" s="15">
        <f ca="1">OFFSET(Data!$A$2,$C$3,VLOOKUP($A13&amp;$B13&amp;$C14&amp;$D$7&amp;AC$8&amp;AD$6&amp;AE$6,OFFSET(Setup!$A$8,0,0,Setup!$A$4,2),2,FALSE)*Setup!$A$5+View!$C$5)</f>
        <v>25</v>
      </c>
      <c r="AD14" s="16">
        <f ca="1">OFFSET(Data!$A$2,$C$3,VLOOKUP($A13&amp;$B13&amp;$C14&amp;$D$7&amp;AD$8&amp;AD$6&amp;AE$6,OFFSET(Setup!$A$8,0,0,Setup!$A$4,2),2,FALSE)*Setup!$A$5+View!$C$5)</f>
        <v>25</v>
      </c>
      <c r="AE14" s="15">
        <f ca="1">OFFSET(Data!$A$2,$C$3,VLOOKUP($A13&amp;$B13&amp;$C14&amp;$F$7&amp;AE$8&amp;AD$6&amp;AE$6,OFFSET(Setup!$A$8,0,0,Setup!$A$4,2),2,FALSE)*Setup!$A$5+View!$C$5)</f>
        <v>25</v>
      </c>
      <c r="AF14" s="16">
        <f ca="1">OFFSET(Data!$A$2,$C$3,VLOOKUP($A13&amp;$B13&amp;$C14&amp;$F$7&amp;AF$8&amp;AD$6&amp;AE$6,OFFSET(Setup!$A$8,0,0,Setup!$A$4,2),2,FALSE)*Setup!$A$5+View!$C$5)</f>
        <v>25</v>
      </c>
      <c r="AH14" s="15">
        <f ca="1">OFFSET(Data!$A$2,$C$3,VLOOKUP($A13&amp;$B13&amp;$C14&amp;$D$7&amp;AH$8&amp;AI$6&amp;AJ$6,OFFSET(Setup!$A$8,0,0,Setup!$A$4,2),2,FALSE)*Setup!$A$5+View!$C$5)</f>
        <v>23</v>
      </c>
      <c r="AI14" s="16">
        <f ca="1">OFFSET(Data!$A$2,$C$3,VLOOKUP($A13&amp;$B13&amp;$C14&amp;$D$7&amp;AI$8&amp;AI$6&amp;AJ$6,OFFSET(Setup!$A$8,0,0,Setup!$A$4,2),2,FALSE)*Setup!$A$5+View!$C$5)</f>
        <v>23</v>
      </c>
      <c r="AJ14" s="15">
        <f ca="1">OFFSET(Data!$A$2,$C$3,VLOOKUP($A13&amp;$B13&amp;$C14&amp;$F$7&amp;AJ$8&amp;AI$6&amp;AJ$6,OFFSET(Setup!$A$8,0,0,Setup!$A$4,2),2,FALSE)*Setup!$A$5+View!$C$5)</f>
        <v>23</v>
      </c>
      <c r="AK14" s="16">
        <f ca="1">OFFSET(Data!$A$2,$C$3,VLOOKUP($A13&amp;$B13&amp;$C14&amp;$F$7&amp;AK$8&amp;AI$6&amp;AJ$6,OFFSET(Setup!$A$8,0,0,Setup!$A$4,2),2,FALSE)*Setup!$A$5+View!$C$5)</f>
        <v>23</v>
      </c>
      <c r="AM14" s="15">
        <f ca="1">OFFSET(Data!$A$2,$C$3,VLOOKUP($A13&amp;$B13&amp;$C14&amp;$D$7&amp;AM$8&amp;AN$6&amp;AO$6,OFFSET(Setup!$A$8,0,0,Setup!$A$4,2),2,FALSE)*Setup!$A$5+View!$C$5)</f>
        <v>24</v>
      </c>
      <c r="AN14" s="16">
        <f ca="1">OFFSET(Data!$A$2,$C$3,VLOOKUP($A13&amp;$B13&amp;$C14&amp;$D$7&amp;AN$8&amp;AN$6&amp;AO$6,OFFSET(Setup!$A$8,0,0,Setup!$A$4,2),2,FALSE)*Setup!$A$5+View!$C$5)</f>
        <v>24</v>
      </c>
      <c r="AO14" s="15">
        <f ca="1">OFFSET(Data!$A$2,$C$3,VLOOKUP($A13&amp;$B13&amp;$C14&amp;$F$7&amp;AO$8&amp;AN$6&amp;AO$6,OFFSET(Setup!$A$8,0,0,Setup!$A$4,2),2,FALSE)*Setup!$A$5+View!$C$5)</f>
        <v>24</v>
      </c>
      <c r="AP14" s="16">
        <f ca="1">OFFSET(Data!$A$2,$C$3,VLOOKUP($A13&amp;$B13&amp;$C14&amp;$F$7&amp;AP$8&amp;AN$6&amp;AO$6,OFFSET(Setup!$A$8,0,0,Setup!$A$4,2),2,FALSE)*Setup!$A$5+View!$C$5)</f>
        <v>24</v>
      </c>
      <c r="AR14" s="15">
        <f ca="1">OFFSET(Data!$A$2,$C$3,VLOOKUP($A13&amp;$B13&amp;$C14&amp;$D$7&amp;AR$8&amp;AS$6&amp;AT$6,OFFSET(Setup!$A$8,0,0,Setup!$A$4,2),2,FALSE)*Setup!$A$5+View!$C$5)</f>
        <v>25</v>
      </c>
      <c r="AS14" s="16">
        <f ca="1">OFFSET(Data!$A$2,$C$3,VLOOKUP($A13&amp;$B13&amp;$C14&amp;$D$7&amp;AS$8&amp;AS$6&amp;AT$6,OFFSET(Setup!$A$8,0,0,Setup!$A$4,2),2,FALSE)*Setup!$A$5+View!$C$5)</f>
        <v>25</v>
      </c>
      <c r="AT14" s="15">
        <f ca="1">OFFSET(Data!$A$2,$C$3,VLOOKUP($A13&amp;$B13&amp;$C14&amp;$F$7&amp;AT$8&amp;AS$6&amp;AT$6,OFFSET(Setup!$A$8,0,0,Setup!$A$4,2),2,FALSE)*Setup!$A$5+View!$C$5)</f>
        <v>25</v>
      </c>
      <c r="AU14" s="16">
        <f ca="1">OFFSET(Data!$A$2,$C$3,VLOOKUP($A13&amp;$B13&amp;$C14&amp;$F$7&amp;AU$8&amp;AS$6&amp;AT$6,OFFSET(Setup!$A$8,0,0,Setup!$A$4,2),2,FALSE)*Setup!$A$5+View!$C$5)</f>
        <v>25</v>
      </c>
    </row>
    <row r="15" spans="1:52" ht="15.75" customHeight="1" thickBot="1" x14ac:dyDescent="0.35">
      <c r="A15" s="37"/>
      <c r="B15" s="40" t="s">
        <v>186</v>
      </c>
      <c r="C15" s="11"/>
      <c r="D15" s="15">
        <f ca="1">OFFSET(Data!$A$2,$C$3,VLOOKUP($A13&amp;$B15&amp;$C15&amp;$D$7&amp;D$8&amp;E$6&amp;F$6,OFFSET(Setup!$A$8,0,0,Setup!$A$4,2),2,FALSE)*Setup!$A$5+View!$C$5)</f>
        <v>23</v>
      </c>
      <c r="E15" s="16">
        <f ca="1">OFFSET(Data!$A$2,$C$3,VLOOKUP($A13&amp;$B15&amp;$C15&amp;$D$7&amp;E$8&amp;E$6&amp;F$6,OFFSET(Setup!$A$8,0,0,Setup!$A$4,2),2,FALSE)*Setup!$A$5+View!$C$5)</f>
        <v>23</v>
      </c>
      <c r="F15" s="15">
        <f ca="1">OFFSET(Data!$A$2,$C$3,VLOOKUP($A13&amp;$B15&amp;$C15&amp;$F$7&amp;F$8&amp;E$6&amp;F$6,OFFSET(Setup!$A$8,0,0,Setup!$A$4,2),2,FALSE)*Setup!$A$5+View!$C$5)</f>
        <v>23</v>
      </c>
      <c r="G15" s="16">
        <f ca="1">OFFSET(Data!$A$2,$C$3,VLOOKUP($A13&amp;$B15&amp;$C15&amp;$F$7&amp;G$8&amp;E$6&amp;F$6,OFFSET(Setup!$A$8,0,0,Setup!$A$4,2),2,FALSE)*Setup!$A$5+View!$C$5)</f>
        <v>23</v>
      </c>
      <c r="I15" s="15">
        <f ca="1">OFFSET(Data!$A$2,$C$3,VLOOKUP($A13&amp;$B15&amp;$C15&amp;$D$7&amp;I$8&amp;J$6&amp;K$6,OFFSET(Setup!$A$8,0,0,Setup!$A$4,2),2,FALSE)*Setup!$A$5+View!$C$5)</f>
        <v>24</v>
      </c>
      <c r="J15" s="16">
        <f ca="1">OFFSET(Data!$A$2,$C$3,VLOOKUP($A13&amp;$B15&amp;$C15&amp;$D$7&amp;J$8&amp;J$6&amp;K$6,OFFSET(Setup!$A$8,0,0,Setup!$A$4,2),2,FALSE)*Setup!$A$5+View!$C$5)</f>
        <v>24</v>
      </c>
      <c r="K15" s="15">
        <f ca="1">OFFSET(Data!$A$2,$C$3,VLOOKUP($A13&amp;$B15&amp;$C15&amp;$F$7&amp;K$8&amp;J$6&amp;K$6,OFFSET(Setup!$A$8,0,0,Setup!$A$4,2),2,FALSE)*Setup!$A$5+View!$C$5)</f>
        <v>24</v>
      </c>
      <c r="L15" s="16">
        <f ca="1">OFFSET(Data!$A$2,$C$3,VLOOKUP($A13&amp;$B15&amp;$C15&amp;$F$7&amp;L$8&amp;J$6&amp;K$6,OFFSET(Setup!$A$8,0,0,Setup!$A$4,2),2,FALSE)*Setup!$A$5+View!$C$5)</f>
        <v>24</v>
      </c>
      <c r="N15" s="15">
        <f ca="1">OFFSET(Data!$A$2,$C$3,VLOOKUP($A13&amp;$B15&amp;$C15&amp;$D$7&amp;N$8&amp;O$6&amp;P$6,OFFSET(Setup!$A$8,0,0,Setup!$A$4,2),2,FALSE)*Setup!$A$5+View!$C$5)</f>
        <v>25</v>
      </c>
      <c r="O15" s="16">
        <f ca="1">OFFSET(Data!$A$2,$C$3,VLOOKUP($A13&amp;$B15&amp;$C15&amp;$D$7&amp;O$8&amp;O$6&amp;P$6,OFFSET(Setup!$A$8,0,0,Setup!$A$4,2),2,FALSE)*Setup!$A$5+View!$C$5)</f>
        <v>25</v>
      </c>
      <c r="P15" s="15">
        <f ca="1">OFFSET(Data!$A$2,$C$3,VLOOKUP($A13&amp;$B15&amp;$C15&amp;$F$7&amp;P$8&amp;O$6&amp;P$6,OFFSET(Setup!$A$8,0,0,Setup!$A$4,2),2,FALSE)*Setup!$A$5+View!$C$5)</f>
        <v>25</v>
      </c>
      <c r="Q15" s="16">
        <f ca="1">OFFSET(Data!$A$2,$C$3,VLOOKUP($A13&amp;$B15&amp;$C15&amp;$F$7&amp;Q$8&amp;O$6&amp;P$6,OFFSET(Setup!$A$8,0,0,Setup!$A$4,2),2,FALSE)*Setup!$A$5+View!$C$5)</f>
        <v>25</v>
      </c>
      <c r="S15" s="15">
        <f ca="1">OFFSET(Data!$A$2,$C$3,VLOOKUP($A13&amp;$B15&amp;$C15&amp;$D$7&amp;S$8&amp;T$6&amp;U$6,OFFSET(Setup!$A$8,0,0,Setup!$A$4,2),2,FALSE)*Setup!$A$5+View!$C$5)</f>
        <v>23</v>
      </c>
      <c r="T15" s="16">
        <f ca="1">OFFSET(Data!$A$2,$C$3,VLOOKUP($A13&amp;$B15&amp;$C15&amp;$D$7&amp;T$8&amp;T$6&amp;U$6,OFFSET(Setup!$A$8,0,0,Setup!$A$4,2),2,FALSE)*Setup!$A$5+View!$C$5)</f>
        <v>23</v>
      </c>
      <c r="U15" s="15">
        <f ca="1">OFFSET(Data!$A$2,$C$3,VLOOKUP($A13&amp;$B15&amp;$C15&amp;$F$7&amp;U$8&amp;T$6&amp;U$6,OFFSET(Setup!$A$8,0,0,Setup!$A$4,2),2,FALSE)*Setup!$A$5+View!$C$5)</f>
        <v>23</v>
      </c>
      <c r="V15" s="16">
        <f ca="1">OFFSET(Data!$A$2,$C$3,VLOOKUP($A13&amp;$B15&amp;$C15&amp;$F$7&amp;V$8&amp;T$6&amp;U$6,OFFSET(Setup!$A$8,0,0,Setup!$A$4,2),2,FALSE)*Setup!$A$5+View!$C$5)</f>
        <v>23</v>
      </c>
      <c r="X15" s="15">
        <f ca="1">OFFSET(Data!$A$2,$C$3,VLOOKUP($A13&amp;$B15&amp;$C15&amp;$D$7&amp;X$8&amp;Y$6&amp;Z$6,OFFSET(Setup!$A$8,0,0,Setup!$A$4,2),2,FALSE)*Setup!$A$5+View!$C$5)</f>
        <v>24</v>
      </c>
      <c r="Y15" s="16">
        <f ca="1">OFFSET(Data!$A$2,$C$3,VLOOKUP($A13&amp;$B15&amp;$C15&amp;$D$7&amp;Y$8&amp;Y$6&amp;Z$6,OFFSET(Setup!$A$8,0,0,Setup!$A$4,2),2,FALSE)*Setup!$A$5+View!$C$5)</f>
        <v>24</v>
      </c>
      <c r="Z15" s="15">
        <f ca="1">OFFSET(Data!$A$2,$C$3,VLOOKUP($A13&amp;$B15&amp;$C15&amp;$F$7&amp;Z$8&amp;Y$6&amp;Z$6,OFFSET(Setup!$A$8,0,0,Setup!$A$4,2),2,FALSE)*Setup!$A$5+View!$C$5)</f>
        <v>24</v>
      </c>
      <c r="AA15" s="16">
        <f ca="1">OFFSET(Data!$A$2,$C$3,VLOOKUP($A13&amp;$B15&amp;$C15&amp;$F$7&amp;AA$8&amp;Y$6&amp;Z$6,OFFSET(Setup!$A$8,0,0,Setup!$A$4,2),2,FALSE)*Setup!$A$5+View!$C$5)</f>
        <v>24</v>
      </c>
      <c r="AC15" s="15">
        <f ca="1">OFFSET(Data!$A$2,$C$3,VLOOKUP($A13&amp;$B15&amp;$C15&amp;$D$7&amp;AC$8&amp;AD$6&amp;AE$6,OFFSET(Setup!$A$8,0,0,Setup!$A$4,2),2,FALSE)*Setup!$A$5+View!$C$5)</f>
        <v>25</v>
      </c>
      <c r="AD15" s="16">
        <f ca="1">OFFSET(Data!$A$2,$C$3,VLOOKUP($A13&amp;$B15&amp;$C15&amp;$D$7&amp;AD$8&amp;AD$6&amp;AE$6,OFFSET(Setup!$A$8,0,0,Setup!$A$4,2),2,FALSE)*Setup!$A$5+View!$C$5)</f>
        <v>25</v>
      </c>
      <c r="AE15" s="15">
        <f ca="1">OFFSET(Data!$A$2,$C$3,VLOOKUP($A13&amp;$B15&amp;$C15&amp;$F$7&amp;AE$8&amp;AD$6&amp;AE$6,OFFSET(Setup!$A$8,0,0,Setup!$A$4,2),2,FALSE)*Setup!$A$5+View!$C$5)</f>
        <v>25</v>
      </c>
      <c r="AF15" s="16">
        <f ca="1">OFFSET(Data!$A$2,$C$3,VLOOKUP($A13&amp;$B15&amp;$C15&amp;$F$7&amp;AF$8&amp;AD$6&amp;AE$6,OFFSET(Setup!$A$8,0,0,Setup!$A$4,2),2,FALSE)*Setup!$A$5+View!$C$5)</f>
        <v>25</v>
      </c>
      <c r="AH15" s="15">
        <f ca="1">OFFSET(Data!$A$2,$C$3,VLOOKUP($A13&amp;$B15&amp;$C15&amp;$D$7&amp;AH$8&amp;AI$6&amp;AJ$6,OFFSET(Setup!$A$8,0,0,Setup!$A$4,2),2,FALSE)*Setup!$A$5+View!$C$5)</f>
        <v>23</v>
      </c>
      <c r="AI15" s="16">
        <f ca="1">OFFSET(Data!$A$2,$C$3,VLOOKUP($A13&amp;$B15&amp;$C15&amp;$D$7&amp;AI$8&amp;AI$6&amp;AJ$6,OFFSET(Setup!$A$8,0,0,Setup!$A$4,2),2,FALSE)*Setup!$A$5+View!$C$5)</f>
        <v>23</v>
      </c>
      <c r="AJ15" s="15">
        <f ca="1">OFFSET(Data!$A$2,$C$3,VLOOKUP($A13&amp;$B15&amp;$C15&amp;$F$7&amp;AJ$8&amp;AI$6&amp;AJ$6,OFFSET(Setup!$A$8,0,0,Setup!$A$4,2),2,FALSE)*Setup!$A$5+View!$C$5)</f>
        <v>23</v>
      </c>
      <c r="AK15" s="16">
        <f ca="1">OFFSET(Data!$A$2,$C$3,VLOOKUP($A13&amp;$B15&amp;$C15&amp;$F$7&amp;AK$8&amp;AI$6&amp;AJ$6,OFFSET(Setup!$A$8,0,0,Setup!$A$4,2),2,FALSE)*Setup!$A$5+View!$C$5)</f>
        <v>23</v>
      </c>
      <c r="AM15" s="15">
        <f ca="1">OFFSET(Data!$A$2,$C$3,VLOOKUP($A13&amp;$B15&amp;$C15&amp;$D$7&amp;AM$8&amp;AN$6&amp;AO$6,OFFSET(Setup!$A$8,0,0,Setup!$A$4,2),2,FALSE)*Setup!$A$5+View!$C$5)</f>
        <v>24</v>
      </c>
      <c r="AN15" s="16">
        <f ca="1">OFFSET(Data!$A$2,$C$3,VLOOKUP($A13&amp;$B15&amp;$C15&amp;$D$7&amp;AN$8&amp;AN$6&amp;AO$6,OFFSET(Setup!$A$8,0,0,Setup!$A$4,2),2,FALSE)*Setup!$A$5+View!$C$5)</f>
        <v>24</v>
      </c>
      <c r="AO15" s="15">
        <f ca="1">OFFSET(Data!$A$2,$C$3,VLOOKUP($A13&amp;$B15&amp;$C15&amp;$F$7&amp;AO$8&amp;AN$6&amp;AO$6,OFFSET(Setup!$A$8,0,0,Setup!$A$4,2),2,FALSE)*Setup!$A$5+View!$C$5)</f>
        <v>24</v>
      </c>
      <c r="AP15" s="16">
        <f ca="1">OFFSET(Data!$A$2,$C$3,VLOOKUP($A13&amp;$B15&amp;$C15&amp;$F$7&amp;AP$8&amp;AN$6&amp;AO$6,OFFSET(Setup!$A$8,0,0,Setup!$A$4,2),2,FALSE)*Setup!$A$5+View!$C$5)</f>
        <v>24</v>
      </c>
      <c r="AR15" s="15">
        <f ca="1">OFFSET(Data!$A$2,$C$3,VLOOKUP($A13&amp;$B15&amp;$C15&amp;$D$7&amp;AR$8&amp;AS$6&amp;AT$6,OFFSET(Setup!$A$8,0,0,Setup!$A$4,2),2,FALSE)*Setup!$A$5+View!$C$5)</f>
        <v>25</v>
      </c>
      <c r="AS15" s="16">
        <f ca="1">OFFSET(Data!$A$2,$C$3,VLOOKUP($A13&amp;$B15&amp;$C15&amp;$D$7&amp;AS$8&amp;AS$6&amp;AT$6,OFFSET(Setup!$A$8,0,0,Setup!$A$4,2),2,FALSE)*Setup!$A$5+View!$C$5)</f>
        <v>25</v>
      </c>
      <c r="AT15" s="15">
        <f ca="1">OFFSET(Data!$A$2,$C$3,VLOOKUP($A13&amp;$B15&amp;$C15&amp;$F$7&amp;AT$8&amp;AS$6&amp;AT$6,OFFSET(Setup!$A$8,0,0,Setup!$A$4,2),2,FALSE)*Setup!$A$5+View!$C$5)</f>
        <v>25</v>
      </c>
      <c r="AU15" s="16">
        <f ca="1">OFFSET(Data!$A$2,$C$3,VLOOKUP($A13&amp;$B15&amp;$C15&amp;$F$7&amp;AU$8&amp;AS$6&amp;AT$6,OFFSET(Setup!$A$8,0,0,Setup!$A$4,2),2,FALSE)*Setup!$A$5+View!$C$5)</f>
        <v>25</v>
      </c>
    </row>
    <row r="16" spans="1:52" ht="15" customHeight="1" thickBot="1" x14ac:dyDescent="0.35">
      <c r="A16" s="38"/>
      <c r="B16" s="35"/>
      <c r="C16" s="12"/>
      <c r="D16" s="17">
        <f ca="1">OFFSET(Data!$A$2,$C$3,VLOOKUP($A13&amp;$B15&amp;$C16&amp;$D$7&amp;D$8&amp;$E$6&amp;$F$6,OFFSET(Setup!$A$8,0,0,Setup!$A$4,2),2,FALSE)*Setup!$A$5+View!$C$5)</f>
        <v>23</v>
      </c>
      <c r="E16" s="18">
        <f ca="1">OFFSET(Data!$A$2,$C$3,VLOOKUP($A13&amp;$B15&amp;$C16&amp;$D$7&amp;E$8&amp;E$6&amp;F$6,OFFSET(Setup!$A$8,0,0,Setup!$A$4,2),2,FALSE)*Setup!$A$5+View!$C$5)</f>
        <v>23</v>
      </c>
      <c r="F16" s="17">
        <f ca="1">OFFSET(Data!$A$2,$C$3,VLOOKUP($A13&amp;$B15&amp;$C16&amp;$F$7&amp;F$8&amp;E$6&amp;F$6,OFFSET(Setup!$A$8,0,0,Setup!$A$4,2),2,FALSE)*Setup!$A$5+View!$C$5)</f>
        <v>23</v>
      </c>
      <c r="G16" s="18">
        <f ca="1">OFFSET(Data!$A$2,$C$3,VLOOKUP($A13&amp;$B15&amp;$C16&amp;$F$7&amp;G$8&amp;E$6&amp;F$6,OFFSET(Setup!$A$8,0,0,Setup!$A$4,2),2,FALSE)*Setup!$A$5+View!$C$5)</f>
        <v>23</v>
      </c>
      <c r="I16" s="17">
        <f ca="1">OFFSET(Data!$A$2,$C$3,VLOOKUP($A13&amp;$B15&amp;$C16&amp;$D$7&amp;I$8&amp;$J$6&amp;$K$6,OFFSET(Setup!$A$8,0,0,Setup!$A$4,2),2,FALSE)*Setup!$A$5+View!$C$5)</f>
        <v>24</v>
      </c>
      <c r="J16" s="18">
        <f ca="1">OFFSET(Data!$A$2,$C$3,VLOOKUP($A13&amp;$B15&amp;$C16&amp;$D$7&amp;J$8&amp;J$6&amp;K$6,OFFSET(Setup!$A$8,0,0,Setup!$A$4,2),2,FALSE)*Setup!$A$5+View!$C$5)</f>
        <v>24</v>
      </c>
      <c r="K16" s="17">
        <f ca="1">OFFSET(Data!$A$2,$C$3,VLOOKUP($A13&amp;$B15&amp;$C16&amp;$F$7&amp;K$8&amp;J$6&amp;K$6,OFFSET(Setup!$A$8,0,0,Setup!$A$4,2),2,FALSE)*Setup!$A$5+View!$C$5)</f>
        <v>24</v>
      </c>
      <c r="L16" s="18">
        <f ca="1">OFFSET(Data!$A$2,$C$3,VLOOKUP($A13&amp;$B15&amp;$C16&amp;$F$7&amp;L$8&amp;J$6&amp;K$6,OFFSET(Setup!$A$8,0,0,Setup!$A$4,2),2,FALSE)*Setup!$A$5+View!$C$5)</f>
        <v>24</v>
      </c>
      <c r="N16" s="17">
        <f ca="1">OFFSET(Data!$A$2,$C$3,VLOOKUP($A13&amp;$B15&amp;$C16&amp;$D$7&amp;N$8&amp;$O$6&amp;$P$6,OFFSET(Setup!$A$8,0,0,Setup!$A$4,2),2,FALSE)*Setup!$A$5+View!$C$5)</f>
        <v>25</v>
      </c>
      <c r="O16" s="18">
        <f ca="1">OFFSET(Data!$A$2,$C$3,VLOOKUP($A13&amp;$B15&amp;$C16&amp;$D$7&amp;O$8&amp;O$6&amp;P$6,OFFSET(Setup!$A$8,0,0,Setup!$A$4,2),2,FALSE)*Setup!$A$5+View!$C$5)</f>
        <v>25</v>
      </c>
      <c r="P16" s="17">
        <f ca="1">OFFSET(Data!$A$2,$C$3,VLOOKUP($A13&amp;$B15&amp;$C16&amp;$F$7&amp;P$8&amp;O$6&amp;P$6,OFFSET(Setup!$A$8,0,0,Setup!$A$4,2),2,FALSE)*Setup!$A$5+View!$C$5)</f>
        <v>25</v>
      </c>
      <c r="Q16" s="18">
        <f ca="1">OFFSET(Data!$A$2,$C$3,VLOOKUP($A13&amp;$B15&amp;$C16&amp;$F$7&amp;Q$8&amp;O$6&amp;P$6,OFFSET(Setup!$A$8,0,0,Setup!$A$4,2),2,FALSE)*Setup!$A$5+View!$C$5)</f>
        <v>25</v>
      </c>
      <c r="S16" s="17">
        <f ca="1">OFFSET(Data!$A$2,$C$3,VLOOKUP($A13&amp;$B15&amp;$C16&amp;$D$7&amp;S$8&amp;$T$6&amp;$U$6,OFFSET(Setup!$A$8,0,0,Setup!$A$4,2),2,FALSE)*Setup!$A$5+View!$C$5)</f>
        <v>23</v>
      </c>
      <c r="T16" s="18">
        <f ca="1">OFFSET(Data!$A$2,$C$3,VLOOKUP($A13&amp;$B15&amp;$C16&amp;$D$7&amp;T$8&amp;T$6&amp;U$6,OFFSET(Setup!$A$8,0,0,Setup!$A$4,2),2,FALSE)*Setup!$A$5+View!$C$5)</f>
        <v>23</v>
      </c>
      <c r="U16" s="17">
        <f ca="1">OFFSET(Data!$A$2,$C$3,VLOOKUP($A13&amp;$B15&amp;$C16&amp;$F$7&amp;U$8&amp;T$6&amp;U$6,OFFSET(Setup!$A$8,0,0,Setup!$A$4,2),2,FALSE)*Setup!$A$5+View!$C$5)</f>
        <v>23</v>
      </c>
      <c r="V16" s="18">
        <f ca="1">OFFSET(Data!$A$2,$C$3,VLOOKUP($A13&amp;$B15&amp;$C16&amp;$F$7&amp;V$8&amp;T$6&amp;U$6,OFFSET(Setup!$A$8,0,0,Setup!$A$4,2),2,FALSE)*Setup!$A$5+View!$C$5)</f>
        <v>23</v>
      </c>
      <c r="X16" s="17">
        <f ca="1">OFFSET(Data!$A$2,$C$3,VLOOKUP($A13&amp;$B15&amp;$C16&amp;$D$7&amp;X$8&amp;$Y$6&amp;$Z$6,OFFSET(Setup!$A$8,0,0,Setup!$A$4,2),2,FALSE)*Setup!$A$5+View!$C$5)</f>
        <v>24</v>
      </c>
      <c r="Y16" s="18">
        <f ca="1">OFFSET(Data!$A$2,$C$3,VLOOKUP($A13&amp;$B15&amp;$C16&amp;$D$7&amp;Y$8&amp;Y$6&amp;Z$6,OFFSET(Setup!$A$8,0,0,Setup!$A$4,2),2,FALSE)*Setup!$A$5+View!$C$5)</f>
        <v>24</v>
      </c>
      <c r="Z16" s="17">
        <f ca="1">OFFSET(Data!$A$2,$C$3,VLOOKUP($A13&amp;$B15&amp;$C16&amp;$F$7&amp;Z$8&amp;Y$6&amp;Z$6,OFFSET(Setup!$A$8,0,0,Setup!$A$4,2),2,FALSE)*Setup!$A$5+View!$C$5)</f>
        <v>24</v>
      </c>
      <c r="AA16" s="18">
        <f ca="1">OFFSET(Data!$A$2,$C$3,VLOOKUP($A13&amp;$B15&amp;$C16&amp;$F$7&amp;AA$8&amp;Y$6&amp;Z$6,OFFSET(Setup!$A$8,0,0,Setup!$A$4,2),2,FALSE)*Setup!$A$5+View!$C$5)</f>
        <v>24</v>
      </c>
      <c r="AC16" s="17">
        <f ca="1">OFFSET(Data!$A$2,$C$3,VLOOKUP($A13&amp;$B15&amp;$C16&amp;$D$7&amp;AC$8&amp;$AD$6&amp;$AE$6,OFFSET(Setup!$A$8,0,0,Setup!$A$4,2),2,FALSE)*Setup!$A$5+View!$C$5)</f>
        <v>25</v>
      </c>
      <c r="AD16" s="18">
        <f ca="1">OFFSET(Data!$A$2,$C$3,VLOOKUP($A13&amp;$B15&amp;$C16&amp;$D$7&amp;AD$8&amp;AD$6&amp;AE$6,OFFSET(Setup!$A$8,0,0,Setup!$A$4,2),2,FALSE)*Setup!$A$5+View!$C$5)</f>
        <v>25</v>
      </c>
      <c r="AE16" s="17">
        <f ca="1">OFFSET(Data!$A$2,$C$3,VLOOKUP($A13&amp;$B15&amp;$C16&amp;$F$7&amp;AE$8&amp;AD$6&amp;AE$6,OFFSET(Setup!$A$8,0,0,Setup!$A$4,2),2,FALSE)*Setup!$A$5+View!$C$5)</f>
        <v>25</v>
      </c>
      <c r="AF16" s="18">
        <f ca="1">OFFSET(Data!$A$2,$C$3,VLOOKUP($A13&amp;$B15&amp;$C16&amp;$F$7&amp;AF$8&amp;AD$6&amp;AE$6,OFFSET(Setup!$A$8,0,0,Setup!$A$4,2),2,FALSE)*Setup!$A$5+View!$C$5)</f>
        <v>25</v>
      </c>
      <c r="AH16" s="17">
        <f ca="1">OFFSET(Data!$A$2,$C$3,VLOOKUP($A13&amp;$B15&amp;$C16&amp;$D$7&amp;AH$8&amp;$AI$6&amp;$AJ$6,OFFSET(Setup!$A$8,0,0,Setup!$A$4,2),2,FALSE)*Setup!$A$5+View!$C$5)</f>
        <v>23</v>
      </c>
      <c r="AI16" s="18">
        <f ca="1">OFFSET(Data!$A$2,$C$3,VLOOKUP($A13&amp;$B15&amp;$C16&amp;$D$7&amp;AI$8&amp;AI$6&amp;AJ$6,OFFSET(Setup!$A$8,0,0,Setup!$A$4,2),2,FALSE)*Setup!$A$5+View!$C$5)</f>
        <v>23</v>
      </c>
      <c r="AJ16" s="17">
        <f ca="1">OFFSET(Data!$A$2,$C$3,VLOOKUP($A13&amp;$B15&amp;$C16&amp;$F$7&amp;AJ$8&amp;AI$6&amp;AJ$6,OFFSET(Setup!$A$8,0,0,Setup!$A$4,2),2,FALSE)*Setup!$A$5+View!$C$5)</f>
        <v>23</v>
      </c>
      <c r="AK16" s="18">
        <f ca="1">OFFSET(Data!$A$2,$C$3,VLOOKUP($A13&amp;$B15&amp;$C16&amp;$F$7&amp;AK$8&amp;AI$6&amp;AJ$6,OFFSET(Setup!$A$8,0,0,Setup!$A$4,2),2,FALSE)*Setup!$A$5+View!$C$5)</f>
        <v>23</v>
      </c>
      <c r="AM16" s="17">
        <f ca="1">OFFSET(Data!$A$2,$C$3,VLOOKUP($A13&amp;$B15&amp;$C16&amp;$D$7&amp;AM$8&amp;$AN$6&amp;$AO$6,OFFSET(Setup!$A$8,0,0,Setup!$A$4,2),2,FALSE)*Setup!$A$5+View!$C$5)</f>
        <v>24</v>
      </c>
      <c r="AN16" s="18">
        <f ca="1">OFFSET(Data!$A$2,$C$3,VLOOKUP($A13&amp;$B15&amp;$C16&amp;$D$7&amp;AN$8&amp;AN$6&amp;AO$6,OFFSET(Setup!$A$8,0,0,Setup!$A$4,2),2,FALSE)*Setup!$A$5+View!$C$5)</f>
        <v>24</v>
      </c>
      <c r="AO16" s="17">
        <f ca="1">OFFSET(Data!$A$2,$C$3,VLOOKUP($A13&amp;$B15&amp;$C16&amp;$F$7&amp;AO$8&amp;AN$6&amp;AO$6,OFFSET(Setup!$A$8,0,0,Setup!$A$4,2),2,FALSE)*Setup!$A$5+View!$C$5)</f>
        <v>24</v>
      </c>
      <c r="AP16" s="18">
        <f ca="1">OFFSET(Data!$A$2,$C$3,VLOOKUP($A13&amp;$B15&amp;$C16&amp;$F$7&amp;AP$8&amp;AN$6&amp;AO$6,OFFSET(Setup!$A$8,0,0,Setup!$A$4,2),2,FALSE)*Setup!$A$5+View!$C$5)</f>
        <v>24</v>
      </c>
      <c r="AR16" s="17">
        <f ca="1">OFFSET(Data!$A$2,$C$3,VLOOKUP($A13&amp;$B15&amp;$C16&amp;$D$7&amp;AR$8&amp;$AS$6&amp;$AT$6,OFFSET(Setup!$A$8,0,0,Setup!$A$4,2),2,FALSE)*Setup!$A$5+View!$C$5)</f>
        <v>25</v>
      </c>
      <c r="AS16" s="18">
        <f ca="1">OFFSET(Data!$A$2,$C$3,VLOOKUP($A13&amp;$B15&amp;$C16&amp;$D$7&amp;AS$8&amp;AS$6&amp;AT$6,OFFSET(Setup!$A$8,0,0,Setup!$A$4,2),2,FALSE)*Setup!$A$5+View!$C$5)</f>
        <v>25</v>
      </c>
      <c r="AT16" s="17">
        <f ca="1">OFFSET(Data!$A$2,$C$3,VLOOKUP($A13&amp;$B15&amp;$C16&amp;$F$7&amp;AT$8&amp;AS$6&amp;AT$6,OFFSET(Setup!$A$8,0,0,Setup!$A$4,2),2,FALSE)*Setup!$A$5+View!$C$5)</f>
        <v>25</v>
      </c>
      <c r="AU16" s="18">
        <f ca="1">OFFSET(Data!$A$2,$C$3,VLOOKUP($A13&amp;$B15&amp;$C16&amp;$F$7&amp;AU$8&amp;AS$6&amp;AT$6,OFFSET(Setup!$A$8,0,0,Setup!$A$4,2),2,FALSE)*Setup!$A$5+View!$C$5)</f>
        <v>25</v>
      </c>
    </row>
    <row r="17" spans="1:52" x14ac:dyDescent="0.3">
      <c r="X17" t="str">
        <f>$A13&amp;$B15&amp;$C15&amp;$D$7&amp;X$8&amp;Y$6&amp;Z$6</f>
        <v>efFoefEoonbP+grilW+WP+EPB+</v>
      </c>
    </row>
    <row r="18" spans="1:52" x14ac:dyDescent="0.3">
      <c r="A18" s="3"/>
      <c r="X18" t="str">
        <f>$A13&amp;$B15&amp;$C16&amp;$D$7&amp;X$8&amp;$J$6&amp;$K$6</f>
        <v>efFoefEoonbP+grilW+WPoEPB+</v>
      </c>
    </row>
    <row r="19" spans="1:52" x14ac:dyDescent="0.3">
      <c r="A19" s="4" t="s">
        <v>188</v>
      </c>
      <c r="C19">
        <v>1</v>
      </c>
    </row>
    <row r="21" spans="1:52" ht="15" customHeight="1" thickBot="1" x14ac:dyDescent="0.35">
      <c r="A21" s="4"/>
      <c r="E21" s="19" t="s">
        <v>189</v>
      </c>
      <c r="F21" s="19" t="s">
        <v>174</v>
      </c>
      <c r="J21" s="19" t="s">
        <v>189</v>
      </c>
      <c r="K21" s="20" t="s">
        <v>175</v>
      </c>
      <c r="O21" s="20" t="s">
        <v>177</v>
      </c>
      <c r="P21" s="19" t="s">
        <v>174</v>
      </c>
      <c r="T21" s="20" t="s">
        <v>177</v>
      </c>
      <c r="U21" s="20" t="s">
        <v>175</v>
      </c>
      <c r="Y21" s="19" t="s">
        <v>189</v>
      </c>
      <c r="Z21" s="20" t="s">
        <v>175</v>
      </c>
      <c r="AD21" s="20" t="s">
        <v>177</v>
      </c>
      <c r="AE21" s="19" t="s">
        <v>174</v>
      </c>
      <c r="AI21" s="20" t="s">
        <v>177</v>
      </c>
      <c r="AJ21" s="20" t="s">
        <v>175</v>
      </c>
      <c r="AN21" s="19" t="s">
        <v>189</v>
      </c>
      <c r="AO21" s="20" t="s">
        <v>175</v>
      </c>
      <c r="AS21" s="20" t="s">
        <v>177</v>
      </c>
      <c r="AT21" s="19" t="s">
        <v>174</v>
      </c>
    </row>
    <row r="22" spans="1:52" x14ac:dyDescent="0.3">
      <c r="D22" s="31" t="str">
        <f>D7</f>
        <v>onbP+</v>
      </c>
      <c r="E22" s="32"/>
      <c r="F22" s="31" t="str">
        <f>F7</f>
        <v>onbP-</v>
      </c>
      <c r="G22" s="32"/>
      <c r="I22" s="31" t="str">
        <f>D7</f>
        <v>onbP+</v>
      </c>
      <c r="J22" s="32"/>
      <c r="K22" s="31" t="str">
        <f>F7</f>
        <v>onbP-</v>
      </c>
      <c r="L22" s="32"/>
      <c r="N22" s="31" t="str">
        <f>I7</f>
        <v>onbP+</v>
      </c>
      <c r="O22" s="32"/>
      <c r="P22" s="31" t="str">
        <f>K7</f>
        <v>onbP-</v>
      </c>
      <c r="Q22" s="32"/>
      <c r="S22" s="31" t="str">
        <f>N7</f>
        <v>onbP+</v>
      </c>
      <c r="T22" s="32"/>
      <c r="U22" s="31" t="str">
        <f>P7</f>
        <v>onbP-</v>
      </c>
      <c r="V22" s="32"/>
      <c r="X22" s="31" t="str">
        <f>S7</f>
        <v>onbP+</v>
      </c>
      <c r="Y22" s="32"/>
      <c r="Z22" s="31" t="str">
        <f>U7</f>
        <v>onbP-</v>
      </c>
      <c r="AA22" s="32"/>
      <c r="AC22" s="31" t="str">
        <f>X7</f>
        <v>onbP+</v>
      </c>
      <c r="AD22" s="32"/>
      <c r="AE22" s="31" t="str">
        <f>Z7</f>
        <v>onbP-</v>
      </c>
      <c r="AF22" s="32"/>
      <c r="AH22" s="31" t="str">
        <f>AC7</f>
        <v>onbP+</v>
      </c>
      <c r="AI22" s="32"/>
      <c r="AJ22" s="31" t="str">
        <f>AE7</f>
        <v>onbP-</v>
      </c>
      <c r="AK22" s="32"/>
      <c r="AM22" s="31" t="str">
        <f>AH7</f>
        <v>onbP+</v>
      </c>
      <c r="AN22" s="32"/>
      <c r="AO22" s="31" t="str">
        <f>AJ7</f>
        <v>onbP-</v>
      </c>
      <c r="AP22" s="32"/>
      <c r="AR22" s="31" t="str">
        <f>AM7</f>
        <v>onbP+</v>
      </c>
      <c r="AS22" s="32"/>
      <c r="AT22" s="31" t="str">
        <f>AO7</f>
        <v>onbP-</v>
      </c>
      <c r="AU22" s="32"/>
      <c r="AW22" s="33"/>
      <c r="AX22" s="33"/>
      <c r="AY22" s="33"/>
      <c r="AZ22" s="33"/>
    </row>
    <row r="23" spans="1:52" ht="15" customHeight="1" thickBot="1" x14ac:dyDescent="0.35">
      <c r="D23" s="8" t="str">
        <f>D8</f>
        <v>grilW+</v>
      </c>
      <c r="E23" s="9" t="str">
        <f>E8</f>
        <v>grilW-</v>
      </c>
      <c r="F23" s="8" t="s">
        <v>190</v>
      </c>
      <c r="G23" s="9" t="s">
        <v>191</v>
      </c>
      <c r="I23" s="8" t="str">
        <f>D8</f>
        <v>grilW+</v>
      </c>
      <c r="J23" s="9" t="str">
        <f>E8</f>
        <v>grilW-</v>
      </c>
      <c r="K23" s="8" t="str">
        <f>F8</f>
        <v>grilW+</v>
      </c>
      <c r="L23" s="9" t="str">
        <f>G8</f>
        <v>grilW-</v>
      </c>
      <c r="N23" s="8" t="str">
        <f>I8</f>
        <v>grilW+</v>
      </c>
      <c r="O23" s="9" t="str">
        <f>J8</f>
        <v>grilW-</v>
      </c>
      <c r="P23" s="8" t="str">
        <f>K8</f>
        <v>grilW+</v>
      </c>
      <c r="Q23" s="9" t="str">
        <f>L8</f>
        <v>grilW-</v>
      </c>
      <c r="S23" s="8" t="str">
        <f>N8</f>
        <v>grilW+</v>
      </c>
      <c r="T23" s="9" t="str">
        <f>O8</f>
        <v>grilW-</v>
      </c>
      <c r="U23" s="8" t="str">
        <f>P8</f>
        <v>grilW+</v>
      </c>
      <c r="V23" s="9" t="str">
        <f>Q8</f>
        <v>grilW-</v>
      </c>
      <c r="X23" s="8" t="str">
        <f>S8</f>
        <v>grilW+</v>
      </c>
      <c r="Y23" s="9" t="str">
        <f>T8</f>
        <v>grilW-</v>
      </c>
      <c r="Z23" s="8" t="str">
        <f>U8</f>
        <v>grilW+</v>
      </c>
      <c r="AA23" s="9" t="str">
        <f>V8</f>
        <v>grilW-</v>
      </c>
      <c r="AC23" s="8" t="str">
        <f>X8</f>
        <v>grilW+</v>
      </c>
      <c r="AD23" s="9" t="str">
        <f>Y8</f>
        <v>grilW-</v>
      </c>
      <c r="AE23" s="8" t="str">
        <f>Z8</f>
        <v>grilW+</v>
      </c>
      <c r="AF23" s="9" t="str">
        <f>AA8</f>
        <v>grilW-</v>
      </c>
      <c r="AH23" s="8" t="str">
        <f>AC8</f>
        <v>grilW+</v>
      </c>
      <c r="AI23" s="9" t="str">
        <f>AD8</f>
        <v>grilW-</v>
      </c>
      <c r="AJ23" s="8" t="str">
        <f>AE8</f>
        <v>grilW+</v>
      </c>
      <c r="AK23" s="9" t="str">
        <f>AF8</f>
        <v>grilW-</v>
      </c>
      <c r="AM23" s="8" t="str">
        <f>AH8</f>
        <v>grilW+</v>
      </c>
      <c r="AN23" s="9" t="str">
        <f>AI8</f>
        <v>grilW-</v>
      </c>
      <c r="AO23" s="8" t="str">
        <f>AJ8</f>
        <v>grilW+</v>
      </c>
      <c r="AP23" s="9" t="str">
        <f>AK8</f>
        <v>grilW-</v>
      </c>
      <c r="AR23" s="8" t="str">
        <f>AM8</f>
        <v>grilW+</v>
      </c>
      <c r="AS23" s="9" t="str">
        <f>AN8</f>
        <v>grilW-</v>
      </c>
      <c r="AT23" s="8" t="str">
        <f>AO8</f>
        <v>grilW+</v>
      </c>
      <c r="AU23" s="9" t="str">
        <f>AP8</f>
        <v>grilW-</v>
      </c>
    </row>
    <row r="24" spans="1:52" ht="15.75" customHeight="1" thickBot="1" x14ac:dyDescent="0.35">
      <c r="A24" s="36" t="str">
        <f>A9</f>
        <v>efF+</v>
      </c>
      <c r="B24" s="39" t="str">
        <f>B9</f>
        <v>efE+</v>
      </c>
      <c r="C24" s="10"/>
      <c r="D24" s="13">
        <f t="shared" ref="D24:G31" ca="1" si="0">D9-D53</f>
        <v>0</v>
      </c>
      <c r="E24" s="14">
        <f t="shared" ca="1" si="0"/>
        <v>0</v>
      </c>
      <c r="F24" s="13">
        <f t="shared" ca="1" si="0"/>
        <v>0</v>
      </c>
      <c r="G24" s="14">
        <f t="shared" ca="1" si="0"/>
        <v>0</v>
      </c>
      <c r="I24" s="13">
        <f t="shared" ref="I24:L31" ca="1" si="1">I9-D53</f>
        <v>1</v>
      </c>
      <c r="J24" s="14">
        <f t="shared" ca="1" si="1"/>
        <v>1</v>
      </c>
      <c r="K24" s="13">
        <f t="shared" ca="1" si="1"/>
        <v>1</v>
      </c>
      <c r="L24" s="14">
        <f t="shared" ca="1" si="1"/>
        <v>1</v>
      </c>
      <c r="N24" s="13">
        <f t="shared" ref="N24:Q31" ca="1" si="2">N9-D53</f>
        <v>2</v>
      </c>
      <c r="O24" s="14">
        <f t="shared" ca="1" si="2"/>
        <v>2</v>
      </c>
      <c r="P24" s="13">
        <f t="shared" ca="1" si="2"/>
        <v>2</v>
      </c>
      <c r="Q24" s="14">
        <f t="shared" ca="1" si="2"/>
        <v>2</v>
      </c>
      <c r="S24" s="13">
        <f t="shared" ref="S24:V31" ca="1" si="3">S9-D53</f>
        <v>0</v>
      </c>
      <c r="T24" s="14">
        <f t="shared" ca="1" si="3"/>
        <v>0</v>
      </c>
      <c r="U24" s="13">
        <f t="shared" ca="1" si="3"/>
        <v>0</v>
      </c>
      <c r="V24" s="14">
        <f t="shared" ca="1" si="3"/>
        <v>0</v>
      </c>
      <c r="X24" s="13">
        <f t="shared" ref="X24:AA31" ca="1" si="4">X9-D53</f>
        <v>1</v>
      </c>
      <c r="Y24" s="14">
        <f t="shared" ca="1" si="4"/>
        <v>1</v>
      </c>
      <c r="Z24" s="13">
        <f t="shared" ca="1" si="4"/>
        <v>1</v>
      </c>
      <c r="AA24" s="14">
        <f t="shared" ca="1" si="4"/>
        <v>1</v>
      </c>
      <c r="AC24" s="13">
        <f t="shared" ref="AC24:AF31" ca="1" si="5">AC9-D53</f>
        <v>2</v>
      </c>
      <c r="AD24" s="14">
        <f t="shared" ca="1" si="5"/>
        <v>2</v>
      </c>
      <c r="AE24" s="13">
        <f t="shared" ca="1" si="5"/>
        <v>2</v>
      </c>
      <c r="AF24" s="14">
        <f t="shared" ca="1" si="5"/>
        <v>2</v>
      </c>
      <c r="AH24" s="13">
        <f t="shared" ref="AH24:AK31" ca="1" si="6">AH9-D53</f>
        <v>0</v>
      </c>
      <c r="AI24" s="14">
        <f t="shared" ca="1" si="6"/>
        <v>0</v>
      </c>
      <c r="AJ24" s="13">
        <f t="shared" ca="1" si="6"/>
        <v>0</v>
      </c>
      <c r="AK24" s="14">
        <f t="shared" ca="1" si="6"/>
        <v>0</v>
      </c>
      <c r="AM24" s="13">
        <f t="shared" ref="AM24:AP31" ca="1" si="7">AM9-D53</f>
        <v>1</v>
      </c>
      <c r="AN24" s="14">
        <f t="shared" ca="1" si="7"/>
        <v>1</v>
      </c>
      <c r="AO24" s="13">
        <f t="shared" ca="1" si="7"/>
        <v>1</v>
      </c>
      <c r="AP24" s="14">
        <f t="shared" ca="1" si="7"/>
        <v>1</v>
      </c>
      <c r="AR24" s="13">
        <f t="shared" ref="AR24:AU31" ca="1" si="8">AR9-D53</f>
        <v>2</v>
      </c>
      <c r="AS24" s="14">
        <f t="shared" ca="1" si="8"/>
        <v>2</v>
      </c>
      <c r="AT24" s="13">
        <f t="shared" ca="1" si="8"/>
        <v>2</v>
      </c>
      <c r="AU24" s="14">
        <f t="shared" ca="1" si="8"/>
        <v>2</v>
      </c>
    </row>
    <row r="25" spans="1:52" x14ac:dyDescent="0.3">
      <c r="A25" s="37"/>
      <c r="B25" s="33"/>
      <c r="C25" s="11"/>
      <c r="D25" s="15">
        <f t="shared" ca="1" si="0"/>
        <v>0</v>
      </c>
      <c r="E25" s="16">
        <f t="shared" ca="1" si="0"/>
        <v>0</v>
      </c>
      <c r="F25" s="15">
        <f t="shared" ca="1" si="0"/>
        <v>0</v>
      </c>
      <c r="G25" s="16">
        <f t="shared" ca="1" si="0"/>
        <v>0</v>
      </c>
      <c r="I25" s="15">
        <f t="shared" ca="1" si="1"/>
        <v>1</v>
      </c>
      <c r="J25" s="16">
        <f t="shared" ca="1" si="1"/>
        <v>1</v>
      </c>
      <c r="K25" s="15">
        <f t="shared" ca="1" si="1"/>
        <v>1</v>
      </c>
      <c r="L25" s="16">
        <f t="shared" ca="1" si="1"/>
        <v>1</v>
      </c>
      <c r="N25" s="15">
        <f t="shared" ca="1" si="2"/>
        <v>2</v>
      </c>
      <c r="O25" s="16">
        <f t="shared" ca="1" si="2"/>
        <v>2</v>
      </c>
      <c r="P25" s="15">
        <f t="shared" ca="1" si="2"/>
        <v>2</v>
      </c>
      <c r="Q25" s="16">
        <f t="shared" ca="1" si="2"/>
        <v>2</v>
      </c>
      <c r="S25" s="15">
        <f t="shared" ca="1" si="3"/>
        <v>0</v>
      </c>
      <c r="T25" s="16">
        <f t="shared" ca="1" si="3"/>
        <v>0</v>
      </c>
      <c r="U25" s="15">
        <f t="shared" ca="1" si="3"/>
        <v>0</v>
      </c>
      <c r="V25" s="16">
        <f t="shared" ca="1" si="3"/>
        <v>0</v>
      </c>
      <c r="X25" s="15">
        <f t="shared" ca="1" si="4"/>
        <v>1</v>
      </c>
      <c r="Y25" s="16">
        <f t="shared" ca="1" si="4"/>
        <v>1</v>
      </c>
      <c r="Z25" s="15">
        <f t="shared" ca="1" si="4"/>
        <v>1</v>
      </c>
      <c r="AA25" s="16">
        <f t="shared" ca="1" si="4"/>
        <v>1</v>
      </c>
      <c r="AC25" s="15">
        <f t="shared" ca="1" si="5"/>
        <v>2</v>
      </c>
      <c r="AD25" s="16">
        <f t="shared" ca="1" si="5"/>
        <v>2</v>
      </c>
      <c r="AE25" s="15">
        <f t="shared" ca="1" si="5"/>
        <v>2</v>
      </c>
      <c r="AF25" s="16">
        <f t="shared" ca="1" si="5"/>
        <v>2</v>
      </c>
      <c r="AH25" s="15">
        <f t="shared" ca="1" si="6"/>
        <v>0</v>
      </c>
      <c r="AI25" s="16">
        <f t="shared" ca="1" si="6"/>
        <v>0</v>
      </c>
      <c r="AJ25" s="15">
        <f t="shared" ca="1" si="6"/>
        <v>0</v>
      </c>
      <c r="AK25" s="16">
        <f t="shared" ca="1" si="6"/>
        <v>0</v>
      </c>
      <c r="AM25" s="15">
        <f t="shared" ca="1" si="7"/>
        <v>1</v>
      </c>
      <c r="AN25" s="16">
        <f t="shared" ca="1" si="7"/>
        <v>1</v>
      </c>
      <c r="AO25" s="15">
        <f t="shared" ca="1" si="7"/>
        <v>1</v>
      </c>
      <c r="AP25" s="16">
        <f t="shared" ca="1" si="7"/>
        <v>1</v>
      </c>
      <c r="AR25" s="15">
        <f t="shared" ca="1" si="8"/>
        <v>2</v>
      </c>
      <c r="AS25" s="16">
        <f t="shared" ca="1" si="8"/>
        <v>2</v>
      </c>
      <c r="AT25" s="15">
        <f t="shared" ca="1" si="8"/>
        <v>2</v>
      </c>
      <c r="AU25" s="16">
        <f t="shared" ca="1" si="8"/>
        <v>2</v>
      </c>
    </row>
    <row r="26" spans="1:52" ht="15.75" customHeight="1" thickBot="1" x14ac:dyDescent="0.35">
      <c r="A26" s="37"/>
      <c r="B26" s="40" t="str">
        <f>B11</f>
        <v>efEo</v>
      </c>
      <c r="C26" s="11"/>
      <c r="D26" s="15">
        <f t="shared" ca="1" si="0"/>
        <v>0</v>
      </c>
      <c r="E26" s="16">
        <f t="shared" ca="1" si="0"/>
        <v>0</v>
      </c>
      <c r="F26" s="15">
        <f t="shared" ca="1" si="0"/>
        <v>0</v>
      </c>
      <c r="G26" s="16">
        <f t="shared" ca="1" si="0"/>
        <v>0</v>
      </c>
      <c r="I26" s="15">
        <f t="shared" ca="1" si="1"/>
        <v>1</v>
      </c>
      <c r="J26" s="16">
        <f t="shared" ca="1" si="1"/>
        <v>1</v>
      </c>
      <c r="K26" s="15">
        <f t="shared" ca="1" si="1"/>
        <v>1</v>
      </c>
      <c r="L26" s="16">
        <f t="shared" ca="1" si="1"/>
        <v>1</v>
      </c>
      <c r="N26" s="15">
        <f t="shared" ca="1" si="2"/>
        <v>2</v>
      </c>
      <c r="O26" s="16">
        <f t="shared" ca="1" si="2"/>
        <v>2</v>
      </c>
      <c r="P26" s="15">
        <f t="shared" ca="1" si="2"/>
        <v>2</v>
      </c>
      <c r="Q26" s="16">
        <f t="shared" ca="1" si="2"/>
        <v>2</v>
      </c>
      <c r="S26" s="15">
        <f t="shared" ca="1" si="3"/>
        <v>0</v>
      </c>
      <c r="T26" s="16">
        <f t="shared" ca="1" si="3"/>
        <v>0</v>
      </c>
      <c r="U26" s="15">
        <f t="shared" ca="1" si="3"/>
        <v>0</v>
      </c>
      <c r="V26" s="16">
        <f t="shared" ca="1" si="3"/>
        <v>0</v>
      </c>
      <c r="X26" s="15">
        <f t="shared" ca="1" si="4"/>
        <v>1</v>
      </c>
      <c r="Y26" s="16">
        <f t="shared" ca="1" si="4"/>
        <v>1</v>
      </c>
      <c r="Z26" s="15">
        <f t="shared" ca="1" si="4"/>
        <v>1</v>
      </c>
      <c r="AA26" s="16">
        <f t="shared" ca="1" si="4"/>
        <v>1</v>
      </c>
      <c r="AC26" s="15">
        <f t="shared" ca="1" si="5"/>
        <v>2</v>
      </c>
      <c r="AD26" s="16">
        <f t="shared" ca="1" si="5"/>
        <v>2</v>
      </c>
      <c r="AE26" s="15">
        <f t="shared" ca="1" si="5"/>
        <v>2</v>
      </c>
      <c r="AF26" s="16">
        <f t="shared" ca="1" si="5"/>
        <v>2</v>
      </c>
      <c r="AH26" s="15">
        <f t="shared" ca="1" si="6"/>
        <v>0</v>
      </c>
      <c r="AI26" s="16">
        <f t="shared" ca="1" si="6"/>
        <v>0</v>
      </c>
      <c r="AJ26" s="15">
        <f t="shared" ca="1" si="6"/>
        <v>0</v>
      </c>
      <c r="AK26" s="16">
        <f t="shared" ca="1" si="6"/>
        <v>0</v>
      </c>
      <c r="AM26" s="15">
        <f t="shared" ca="1" si="7"/>
        <v>1</v>
      </c>
      <c r="AN26" s="16">
        <f t="shared" ca="1" si="7"/>
        <v>1</v>
      </c>
      <c r="AO26" s="15">
        <f t="shared" ca="1" si="7"/>
        <v>1</v>
      </c>
      <c r="AP26" s="16">
        <f t="shared" ca="1" si="7"/>
        <v>1</v>
      </c>
      <c r="AR26" s="15">
        <f t="shared" ca="1" si="8"/>
        <v>2</v>
      </c>
      <c r="AS26" s="16">
        <f t="shared" ca="1" si="8"/>
        <v>2</v>
      </c>
      <c r="AT26" s="15">
        <f t="shared" ca="1" si="8"/>
        <v>2</v>
      </c>
      <c r="AU26" s="16">
        <f t="shared" ca="1" si="8"/>
        <v>2</v>
      </c>
    </row>
    <row r="27" spans="1:52" ht="15" customHeight="1" thickBot="1" x14ac:dyDescent="0.35">
      <c r="A27" s="38"/>
      <c r="B27" s="35"/>
      <c r="C27" s="12"/>
      <c r="D27" s="17">
        <f t="shared" ca="1" si="0"/>
        <v>0</v>
      </c>
      <c r="E27" s="18">
        <f t="shared" ca="1" si="0"/>
        <v>0</v>
      </c>
      <c r="F27" s="17">
        <f t="shared" ca="1" si="0"/>
        <v>0</v>
      </c>
      <c r="G27" s="18">
        <f t="shared" ca="1" si="0"/>
        <v>0</v>
      </c>
      <c r="I27" s="17">
        <f t="shared" ca="1" si="1"/>
        <v>1</v>
      </c>
      <c r="J27" s="18">
        <f t="shared" ca="1" si="1"/>
        <v>1</v>
      </c>
      <c r="K27" s="17">
        <f t="shared" ca="1" si="1"/>
        <v>1</v>
      </c>
      <c r="L27" s="18">
        <f t="shared" ca="1" si="1"/>
        <v>1</v>
      </c>
      <c r="N27" s="17">
        <f t="shared" ca="1" si="2"/>
        <v>2</v>
      </c>
      <c r="O27" s="18">
        <f t="shared" ca="1" si="2"/>
        <v>2</v>
      </c>
      <c r="P27" s="17">
        <f t="shared" ca="1" si="2"/>
        <v>2</v>
      </c>
      <c r="Q27" s="18">
        <f t="shared" ca="1" si="2"/>
        <v>2</v>
      </c>
      <c r="S27" s="17">
        <f t="shared" ca="1" si="3"/>
        <v>0</v>
      </c>
      <c r="T27" s="18">
        <f t="shared" ca="1" si="3"/>
        <v>0</v>
      </c>
      <c r="U27" s="17">
        <f t="shared" ca="1" si="3"/>
        <v>0</v>
      </c>
      <c r="V27" s="18">
        <f t="shared" ca="1" si="3"/>
        <v>0</v>
      </c>
      <c r="X27" s="17">
        <f t="shared" ca="1" si="4"/>
        <v>1</v>
      </c>
      <c r="Y27" s="18">
        <f t="shared" ca="1" si="4"/>
        <v>1</v>
      </c>
      <c r="Z27" s="17">
        <f t="shared" ca="1" si="4"/>
        <v>1</v>
      </c>
      <c r="AA27" s="18">
        <f t="shared" ca="1" si="4"/>
        <v>1</v>
      </c>
      <c r="AC27" s="17">
        <f t="shared" ca="1" si="5"/>
        <v>2</v>
      </c>
      <c r="AD27" s="18">
        <f t="shared" ca="1" si="5"/>
        <v>2</v>
      </c>
      <c r="AE27" s="17">
        <f t="shared" ca="1" si="5"/>
        <v>2</v>
      </c>
      <c r="AF27" s="18">
        <f t="shared" ca="1" si="5"/>
        <v>2</v>
      </c>
      <c r="AH27" s="17">
        <f t="shared" ca="1" si="6"/>
        <v>0</v>
      </c>
      <c r="AI27" s="18">
        <f t="shared" ca="1" si="6"/>
        <v>0</v>
      </c>
      <c r="AJ27" s="17">
        <f t="shared" ca="1" si="6"/>
        <v>0</v>
      </c>
      <c r="AK27" s="18">
        <f t="shared" ca="1" si="6"/>
        <v>0</v>
      </c>
      <c r="AM27" s="17">
        <f t="shared" ca="1" si="7"/>
        <v>1</v>
      </c>
      <c r="AN27" s="18">
        <f t="shared" ca="1" si="7"/>
        <v>1</v>
      </c>
      <c r="AO27" s="17">
        <f t="shared" ca="1" si="7"/>
        <v>1</v>
      </c>
      <c r="AP27" s="18">
        <f t="shared" ca="1" si="7"/>
        <v>1</v>
      </c>
      <c r="AR27" s="17">
        <f t="shared" ca="1" si="8"/>
        <v>2</v>
      </c>
      <c r="AS27" s="18">
        <f t="shared" ca="1" si="8"/>
        <v>2</v>
      </c>
      <c r="AT27" s="17">
        <f t="shared" ca="1" si="8"/>
        <v>2</v>
      </c>
      <c r="AU27" s="18">
        <f t="shared" ca="1" si="8"/>
        <v>2</v>
      </c>
    </row>
    <row r="28" spans="1:52" ht="15.75" customHeight="1" thickBot="1" x14ac:dyDescent="0.35">
      <c r="A28" s="36" t="str">
        <f>A13</f>
        <v>efFo</v>
      </c>
      <c r="B28" s="39" t="str">
        <f>B13</f>
        <v>efE+</v>
      </c>
      <c r="C28" s="10"/>
      <c r="D28" s="13">
        <f t="shared" ca="1" si="0"/>
        <v>0</v>
      </c>
      <c r="E28" s="14">
        <f t="shared" ca="1" si="0"/>
        <v>0</v>
      </c>
      <c r="F28" s="13">
        <f t="shared" ca="1" si="0"/>
        <v>0</v>
      </c>
      <c r="G28" s="14">
        <f t="shared" ca="1" si="0"/>
        <v>0</v>
      </c>
      <c r="I28" s="13">
        <f t="shared" ca="1" si="1"/>
        <v>1</v>
      </c>
      <c r="J28" s="14">
        <f t="shared" ca="1" si="1"/>
        <v>1</v>
      </c>
      <c r="K28" s="13">
        <f t="shared" ca="1" si="1"/>
        <v>1</v>
      </c>
      <c r="L28" s="14">
        <f t="shared" ca="1" si="1"/>
        <v>1</v>
      </c>
      <c r="N28" s="13">
        <f t="shared" ca="1" si="2"/>
        <v>2</v>
      </c>
      <c r="O28" s="14">
        <f t="shared" ca="1" si="2"/>
        <v>2</v>
      </c>
      <c r="P28" s="13">
        <f t="shared" ca="1" si="2"/>
        <v>2</v>
      </c>
      <c r="Q28" s="14">
        <f t="shared" ca="1" si="2"/>
        <v>2</v>
      </c>
      <c r="S28" s="13">
        <f t="shared" ca="1" si="3"/>
        <v>0</v>
      </c>
      <c r="T28" s="14">
        <f t="shared" ca="1" si="3"/>
        <v>0</v>
      </c>
      <c r="U28" s="13">
        <f t="shared" ca="1" si="3"/>
        <v>0</v>
      </c>
      <c r="V28" s="14">
        <f t="shared" ca="1" si="3"/>
        <v>0</v>
      </c>
      <c r="X28" s="13">
        <f t="shared" ca="1" si="4"/>
        <v>1</v>
      </c>
      <c r="Y28" s="14">
        <f t="shared" ca="1" si="4"/>
        <v>1</v>
      </c>
      <c r="Z28" s="13">
        <f t="shared" ca="1" si="4"/>
        <v>1</v>
      </c>
      <c r="AA28" s="14">
        <f t="shared" ca="1" si="4"/>
        <v>1</v>
      </c>
      <c r="AC28" s="13">
        <f t="shared" ca="1" si="5"/>
        <v>2</v>
      </c>
      <c r="AD28" s="14">
        <f t="shared" ca="1" si="5"/>
        <v>2</v>
      </c>
      <c r="AE28" s="13">
        <f t="shared" ca="1" si="5"/>
        <v>2</v>
      </c>
      <c r="AF28" s="14">
        <f t="shared" ca="1" si="5"/>
        <v>2</v>
      </c>
      <c r="AH28" s="13">
        <f t="shared" ca="1" si="6"/>
        <v>0</v>
      </c>
      <c r="AI28" s="14">
        <f t="shared" ca="1" si="6"/>
        <v>0</v>
      </c>
      <c r="AJ28" s="13">
        <f t="shared" ca="1" si="6"/>
        <v>0</v>
      </c>
      <c r="AK28" s="14">
        <f t="shared" ca="1" si="6"/>
        <v>0</v>
      </c>
      <c r="AM28" s="13">
        <f t="shared" ca="1" si="7"/>
        <v>1</v>
      </c>
      <c r="AN28" s="14">
        <f t="shared" ca="1" si="7"/>
        <v>1</v>
      </c>
      <c r="AO28" s="13">
        <f t="shared" ca="1" si="7"/>
        <v>1</v>
      </c>
      <c r="AP28" s="14">
        <f t="shared" ca="1" si="7"/>
        <v>1</v>
      </c>
      <c r="AR28" s="13">
        <f t="shared" ca="1" si="8"/>
        <v>2</v>
      </c>
      <c r="AS28" s="14">
        <f t="shared" ca="1" si="8"/>
        <v>2</v>
      </c>
      <c r="AT28" s="13">
        <f t="shared" ca="1" si="8"/>
        <v>2</v>
      </c>
      <c r="AU28" s="14">
        <f t="shared" ca="1" si="8"/>
        <v>2</v>
      </c>
    </row>
    <row r="29" spans="1:52" x14ac:dyDescent="0.3">
      <c r="A29" s="37"/>
      <c r="B29" s="33"/>
      <c r="C29" s="11"/>
      <c r="D29" s="15">
        <f t="shared" ca="1" si="0"/>
        <v>0</v>
      </c>
      <c r="E29" s="16">
        <f t="shared" ca="1" si="0"/>
        <v>0</v>
      </c>
      <c r="F29" s="15">
        <f t="shared" ca="1" si="0"/>
        <v>0</v>
      </c>
      <c r="G29" s="16">
        <f t="shared" ca="1" si="0"/>
        <v>0</v>
      </c>
      <c r="I29" s="15">
        <f t="shared" ca="1" si="1"/>
        <v>1</v>
      </c>
      <c r="J29" s="16">
        <f t="shared" ca="1" si="1"/>
        <v>1</v>
      </c>
      <c r="K29" s="15">
        <f t="shared" ca="1" si="1"/>
        <v>1</v>
      </c>
      <c r="L29" s="16">
        <f t="shared" ca="1" si="1"/>
        <v>1</v>
      </c>
      <c r="N29" s="15">
        <f t="shared" ca="1" si="2"/>
        <v>2</v>
      </c>
      <c r="O29" s="16">
        <f t="shared" ca="1" si="2"/>
        <v>2</v>
      </c>
      <c r="P29" s="15">
        <f t="shared" ca="1" si="2"/>
        <v>2</v>
      </c>
      <c r="Q29" s="16">
        <f t="shared" ca="1" si="2"/>
        <v>2</v>
      </c>
      <c r="S29" s="15">
        <f t="shared" ca="1" si="3"/>
        <v>0</v>
      </c>
      <c r="T29" s="16">
        <f t="shared" ca="1" si="3"/>
        <v>0</v>
      </c>
      <c r="U29" s="15">
        <f t="shared" ca="1" si="3"/>
        <v>0</v>
      </c>
      <c r="V29" s="16">
        <f t="shared" ca="1" si="3"/>
        <v>0</v>
      </c>
      <c r="X29" s="15">
        <f t="shared" ca="1" si="4"/>
        <v>1</v>
      </c>
      <c r="Y29" s="16">
        <f t="shared" ca="1" si="4"/>
        <v>1</v>
      </c>
      <c r="Z29" s="15">
        <f t="shared" ca="1" si="4"/>
        <v>1</v>
      </c>
      <c r="AA29" s="16">
        <f t="shared" ca="1" si="4"/>
        <v>1</v>
      </c>
      <c r="AC29" s="15">
        <f t="shared" ca="1" si="5"/>
        <v>2</v>
      </c>
      <c r="AD29" s="16">
        <f t="shared" ca="1" si="5"/>
        <v>2</v>
      </c>
      <c r="AE29" s="15">
        <f t="shared" ca="1" si="5"/>
        <v>2</v>
      </c>
      <c r="AF29" s="16">
        <f t="shared" ca="1" si="5"/>
        <v>2</v>
      </c>
      <c r="AH29" s="15">
        <f t="shared" ca="1" si="6"/>
        <v>0</v>
      </c>
      <c r="AI29" s="16">
        <f t="shared" ca="1" si="6"/>
        <v>0</v>
      </c>
      <c r="AJ29" s="15">
        <f t="shared" ca="1" si="6"/>
        <v>0</v>
      </c>
      <c r="AK29" s="16">
        <f t="shared" ca="1" si="6"/>
        <v>0</v>
      </c>
      <c r="AM29" s="15">
        <f t="shared" ca="1" si="7"/>
        <v>1</v>
      </c>
      <c r="AN29" s="16">
        <f t="shared" ca="1" si="7"/>
        <v>1</v>
      </c>
      <c r="AO29" s="15">
        <f t="shared" ca="1" si="7"/>
        <v>1</v>
      </c>
      <c r="AP29" s="16">
        <f t="shared" ca="1" si="7"/>
        <v>1</v>
      </c>
      <c r="AR29" s="15">
        <f t="shared" ca="1" si="8"/>
        <v>2</v>
      </c>
      <c r="AS29" s="16">
        <f t="shared" ca="1" si="8"/>
        <v>2</v>
      </c>
      <c r="AT29" s="15">
        <f t="shared" ca="1" si="8"/>
        <v>2</v>
      </c>
      <c r="AU29" s="16">
        <f t="shared" ca="1" si="8"/>
        <v>2</v>
      </c>
    </row>
    <row r="30" spans="1:52" ht="15.75" customHeight="1" thickBot="1" x14ac:dyDescent="0.35">
      <c r="A30" s="37"/>
      <c r="B30" s="40" t="str">
        <f>B15</f>
        <v>efEo</v>
      </c>
      <c r="C30" s="11"/>
      <c r="D30" s="15">
        <f t="shared" ca="1" si="0"/>
        <v>0</v>
      </c>
      <c r="E30" s="16">
        <f t="shared" ca="1" si="0"/>
        <v>0</v>
      </c>
      <c r="F30" s="15">
        <f t="shared" ca="1" si="0"/>
        <v>0</v>
      </c>
      <c r="G30" s="16">
        <f t="shared" ca="1" si="0"/>
        <v>0</v>
      </c>
      <c r="I30" s="15">
        <f t="shared" ca="1" si="1"/>
        <v>1</v>
      </c>
      <c r="J30" s="16">
        <f t="shared" ca="1" si="1"/>
        <v>1</v>
      </c>
      <c r="K30" s="15">
        <f t="shared" ca="1" si="1"/>
        <v>1</v>
      </c>
      <c r="L30" s="16">
        <f t="shared" ca="1" si="1"/>
        <v>1</v>
      </c>
      <c r="N30" s="15">
        <f t="shared" ca="1" si="2"/>
        <v>2</v>
      </c>
      <c r="O30" s="16">
        <f t="shared" ca="1" si="2"/>
        <v>2</v>
      </c>
      <c r="P30" s="15">
        <f t="shared" ca="1" si="2"/>
        <v>2</v>
      </c>
      <c r="Q30" s="16">
        <f t="shared" ca="1" si="2"/>
        <v>2</v>
      </c>
      <c r="S30" s="15">
        <f t="shared" ca="1" si="3"/>
        <v>0</v>
      </c>
      <c r="T30" s="16">
        <f t="shared" ca="1" si="3"/>
        <v>0</v>
      </c>
      <c r="U30" s="15">
        <f t="shared" ca="1" si="3"/>
        <v>0</v>
      </c>
      <c r="V30" s="16">
        <f t="shared" ca="1" si="3"/>
        <v>0</v>
      </c>
      <c r="X30" s="15">
        <f t="shared" ca="1" si="4"/>
        <v>1</v>
      </c>
      <c r="Y30" s="16">
        <f t="shared" ca="1" si="4"/>
        <v>1</v>
      </c>
      <c r="Z30" s="15">
        <f t="shared" ca="1" si="4"/>
        <v>1</v>
      </c>
      <c r="AA30" s="16">
        <f t="shared" ca="1" si="4"/>
        <v>1</v>
      </c>
      <c r="AC30" s="15">
        <f t="shared" ca="1" si="5"/>
        <v>2</v>
      </c>
      <c r="AD30" s="16">
        <f t="shared" ca="1" si="5"/>
        <v>2</v>
      </c>
      <c r="AE30" s="15">
        <f t="shared" ca="1" si="5"/>
        <v>2</v>
      </c>
      <c r="AF30" s="16">
        <f t="shared" ca="1" si="5"/>
        <v>2</v>
      </c>
      <c r="AH30" s="15">
        <f t="shared" ca="1" si="6"/>
        <v>0</v>
      </c>
      <c r="AI30" s="16">
        <f t="shared" ca="1" si="6"/>
        <v>0</v>
      </c>
      <c r="AJ30" s="15">
        <f t="shared" ca="1" si="6"/>
        <v>0</v>
      </c>
      <c r="AK30" s="16">
        <f t="shared" ca="1" si="6"/>
        <v>0</v>
      </c>
      <c r="AM30" s="15">
        <f t="shared" ca="1" si="7"/>
        <v>1</v>
      </c>
      <c r="AN30" s="16">
        <f t="shared" ca="1" si="7"/>
        <v>1</v>
      </c>
      <c r="AO30" s="15">
        <f t="shared" ca="1" si="7"/>
        <v>1</v>
      </c>
      <c r="AP30" s="16">
        <f t="shared" ca="1" si="7"/>
        <v>1</v>
      </c>
      <c r="AR30" s="15">
        <f t="shared" ca="1" si="8"/>
        <v>2</v>
      </c>
      <c r="AS30" s="16">
        <f t="shared" ca="1" si="8"/>
        <v>2</v>
      </c>
      <c r="AT30" s="15">
        <f t="shared" ca="1" si="8"/>
        <v>2</v>
      </c>
      <c r="AU30" s="16">
        <f t="shared" ca="1" si="8"/>
        <v>2</v>
      </c>
    </row>
    <row r="31" spans="1:52" ht="15" customHeight="1" thickBot="1" x14ac:dyDescent="0.35">
      <c r="A31" s="38"/>
      <c r="B31" s="35"/>
      <c r="C31" s="12"/>
      <c r="D31" s="17">
        <f t="shared" ca="1" si="0"/>
        <v>0</v>
      </c>
      <c r="E31" s="18">
        <f t="shared" ca="1" si="0"/>
        <v>0</v>
      </c>
      <c r="F31" s="17">
        <f t="shared" ca="1" si="0"/>
        <v>0</v>
      </c>
      <c r="G31" s="18">
        <f t="shared" ca="1" si="0"/>
        <v>0</v>
      </c>
      <c r="I31" s="17">
        <f t="shared" ca="1" si="1"/>
        <v>1</v>
      </c>
      <c r="J31" s="18">
        <f t="shared" ca="1" si="1"/>
        <v>1</v>
      </c>
      <c r="K31" s="17">
        <f t="shared" ca="1" si="1"/>
        <v>1</v>
      </c>
      <c r="L31" s="18">
        <f t="shared" ca="1" si="1"/>
        <v>1</v>
      </c>
      <c r="N31" s="17">
        <f t="shared" ca="1" si="2"/>
        <v>2</v>
      </c>
      <c r="O31" s="18">
        <f t="shared" ca="1" si="2"/>
        <v>2</v>
      </c>
      <c r="P31" s="17">
        <f t="shared" ca="1" si="2"/>
        <v>2</v>
      </c>
      <c r="Q31" s="18">
        <f t="shared" ca="1" si="2"/>
        <v>2</v>
      </c>
      <c r="S31" s="17">
        <f t="shared" ca="1" si="3"/>
        <v>0</v>
      </c>
      <c r="T31" s="18">
        <f t="shared" ca="1" si="3"/>
        <v>0</v>
      </c>
      <c r="U31" s="17">
        <f t="shared" ca="1" si="3"/>
        <v>0</v>
      </c>
      <c r="V31" s="18">
        <f t="shared" ca="1" si="3"/>
        <v>0</v>
      </c>
      <c r="X31" s="17">
        <f t="shared" ca="1" si="4"/>
        <v>1</v>
      </c>
      <c r="Y31" s="18">
        <f t="shared" ca="1" si="4"/>
        <v>1</v>
      </c>
      <c r="Z31" s="17">
        <f t="shared" ca="1" si="4"/>
        <v>1</v>
      </c>
      <c r="AA31" s="18">
        <f t="shared" ca="1" si="4"/>
        <v>1</v>
      </c>
      <c r="AC31" s="17">
        <f t="shared" ca="1" si="5"/>
        <v>2</v>
      </c>
      <c r="AD31" s="18">
        <f t="shared" ca="1" si="5"/>
        <v>2</v>
      </c>
      <c r="AE31" s="17">
        <f t="shared" ca="1" si="5"/>
        <v>2</v>
      </c>
      <c r="AF31" s="18">
        <f t="shared" ca="1" si="5"/>
        <v>2</v>
      </c>
      <c r="AH31" s="17">
        <f t="shared" ca="1" si="6"/>
        <v>0</v>
      </c>
      <c r="AI31" s="18">
        <f t="shared" ca="1" si="6"/>
        <v>0</v>
      </c>
      <c r="AJ31" s="17">
        <f t="shared" ca="1" si="6"/>
        <v>0</v>
      </c>
      <c r="AK31" s="18">
        <f t="shared" ca="1" si="6"/>
        <v>0</v>
      </c>
      <c r="AM31" s="17">
        <f t="shared" ca="1" si="7"/>
        <v>1</v>
      </c>
      <c r="AN31" s="18">
        <f t="shared" ca="1" si="7"/>
        <v>1</v>
      </c>
      <c r="AO31" s="17">
        <f t="shared" ca="1" si="7"/>
        <v>1</v>
      </c>
      <c r="AP31" s="18">
        <f t="shared" ca="1" si="7"/>
        <v>1</v>
      </c>
      <c r="AR31" s="17">
        <f t="shared" ca="1" si="8"/>
        <v>2</v>
      </c>
      <c r="AS31" s="18">
        <f t="shared" ca="1" si="8"/>
        <v>2</v>
      </c>
      <c r="AT31" s="17">
        <f t="shared" ca="1" si="8"/>
        <v>2</v>
      </c>
      <c r="AU31" s="18">
        <f t="shared" ca="1" si="8"/>
        <v>2</v>
      </c>
    </row>
    <row r="36" spans="1:47" ht="15" customHeight="1" thickBot="1" x14ac:dyDescent="0.35">
      <c r="A36" s="4"/>
      <c r="E36" s="19" t="s">
        <v>189</v>
      </c>
      <c r="F36" s="19" t="s">
        <v>174</v>
      </c>
      <c r="J36" s="19" t="s">
        <v>189</v>
      </c>
      <c r="K36" s="20" t="s">
        <v>175</v>
      </c>
      <c r="O36" s="20" t="s">
        <v>177</v>
      </c>
      <c r="P36" s="19" t="s">
        <v>174</v>
      </c>
      <c r="T36" s="20" t="s">
        <v>177</v>
      </c>
      <c r="U36" s="20" t="s">
        <v>175</v>
      </c>
      <c r="Y36" s="19" t="s">
        <v>189</v>
      </c>
      <c r="Z36" s="19" t="s">
        <v>174</v>
      </c>
      <c r="AD36" s="19" t="s">
        <v>189</v>
      </c>
      <c r="AE36" s="20" t="s">
        <v>175</v>
      </c>
      <c r="AI36" s="20" t="s">
        <v>177</v>
      </c>
      <c r="AJ36" s="19" t="s">
        <v>174</v>
      </c>
      <c r="AN36" s="19" t="s">
        <v>189</v>
      </c>
      <c r="AO36" s="20" t="s">
        <v>175</v>
      </c>
      <c r="AS36" s="20" t="s">
        <v>177</v>
      </c>
      <c r="AT36" s="19" t="s">
        <v>174</v>
      </c>
    </row>
    <row r="37" spans="1:47" ht="18.600000000000001" customHeight="1" x14ac:dyDescent="0.35">
      <c r="A37" s="22" t="s">
        <v>192</v>
      </c>
      <c r="D37" s="31" t="str">
        <f>D22</f>
        <v>onbP+</v>
      </c>
      <c r="E37" s="32"/>
      <c r="F37" s="31" t="str">
        <f>F22</f>
        <v>onbP-</v>
      </c>
      <c r="G37" s="32"/>
      <c r="I37" s="31" t="str">
        <f>I22</f>
        <v>onbP+</v>
      </c>
      <c r="J37" s="32"/>
      <c r="K37" s="31" t="str">
        <f>K22</f>
        <v>onbP-</v>
      </c>
      <c r="L37" s="32"/>
      <c r="N37" s="31" t="str">
        <f>N22</f>
        <v>onbP+</v>
      </c>
      <c r="O37" s="32"/>
      <c r="P37" s="31" t="str">
        <f>P22</f>
        <v>onbP-</v>
      </c>
      <c r="Q37" s="32"/>
      <c r="S37" s="31" t="str">
        <f>S22</f>
        <v>onbP+</v>
      </c>
      <c r="T37" s="32"/>
      <c r="U37" s="31" t="str">
        <f>U22</f>
        <v>onbP-</v>
      </c>
      <c r="V37" s="32"/>
      <c r="X37" s="31" t="str">
        <f>X22</f>
        <v>onbP+</v>
      </c>
      <c r="Y37" s="32"/>
      <c r="Z37" s="31" t="str">
        <f>Z22</f>
        <v>onbP-</v>
      </c>
      <c r="AA37" s="32"/>
      <c r="AC37" s="31" t="str">
        <f>AC22</f>
        <v>onbP+</v>
      </c>
      <c r="AD37" s="32"/>
      <c r="AE37" s="31" t="str">
        <f>AE22</f>
        <v>onbP-</v>
      </c>
      <c r="AF37" s="32"/>
      <c r="AH37" s="31" t="str">
        <f>AH22</f>
        <v>onbP+</v>
      </c>
      <c r="AI37" s="32"/>
      <c r="AJ37" s="31" t="str">
        <f>AJ22</f>
        <v>onbP-</v>
      </c>
      <c r="AK37" s="32"/>
      <c r="AM37" s="31" t="str">
        <f>AM22</f>
        <v>onbP+</v>
      </c>
      <c r="AN37" s="32"/>
      <c r="AO37" s="31" t="str">
        <f>AO22</f>
        <v>onbP-</v>
      </c>
      <c r="AP37" s="32"/>
      <c r="AR37" s="31" t="str">
        <f>AR22</f>
        <v>onbP+</v>
      </c>
      <c r="AS37" s="32"/>
      <c r="AT37" s="31" t="str">
        <f>AT22</f>
        <v>onbP-</v>
      </c>
      <c r="AU37" s="32"/>
    </row>
    <row r="38" spans="1:47" ht="15" customHeight="1" thickBot="1" x14ac:dyDescent="0.35">
      <c r="D38" s="8" t="str">
        <f>D23</f>
        <v>grilW+</v>
      </c>
      <c r="E38" s="9" t="str">
        <f>E23</f>
        <v>grilW-</v>
      </c>
      <c r="F38" s="8" t="s">
        <v>190</v>
      </c>
      <c r="G38" s="9" t="s">
        <v>191</v>
      </c>
      <c r="I38" s="8" t="str">
        <f>I23</f>
        <v>grilW+</v>
      </c>
      <c r="J38" s="9" t="str">
        <f>J23</f>
        <v>grilW-</v>
      </c>
      <c r="K38" s="8" t="s">
        <v>190</v>
      </c>
      <c r="L38" s="9" t="s">
        <v>191</v>
      </c>
      <c r="N38" s="8" t="str">
        <f>N23</f>
        <v>grilW+</v>
      </c>
      <c r="O38" s="9" t="str">
        <f>O23</f>
        <v>grilW-</v>
      </c>
      <c r="P38" s="8" t="s">
        <v>190</v>
      </c>
      <c r="Q38" s="9" t="s">
        <v>191</v>
      </c>
      <c r="S38" s="8" t="str">
        <f>S23</f>
        <v>grilW+</v>
      </c>
      <c r="T38" s="9" t="str">
        <f>T23</f>
        <v>grilW-</v>
      </c>
      <c r="U38" s="8" t="s">
        <v>190</v>
      </c>
      <c r="V38" s="9" t="s">
        <v>191</v>
      </c>
      <c r="X38" s="8" t="str">
        <f>X23</f>
        <v>grilW+</v>
      </c>
      <c r="Y38" s="9" t="str">
        <f>Y23</f>
        <v>grilW-</v>
      </c>
      <c r="Z38" s="8" t="s">
        <v>190</v>
      </c>
      <c r="AA38" s="9" t="s">
        <v>191</v>
      </c>
      <c r="AC38" s="8" t="str">
        <f>AC23</f>
        <v>grilW+</v>
      </c>
      <c r="AD38" s="9" t="str">
        <f>AD23</f>
        <v>grilW-</v>
      </c>
      <c r="AE38" s="8" t="s">
        <v>190</v>
      </c>
      <c r="AF38" s="9" t="s">
        <v>191</v>
      </c>
      <c r="AH38" s="8" t="str">
        <f>AH23</f>
        <v>grilW+</v>
      </c>
      <c r="AI38" s="9" t="str">
        <f>AI23</f>
        <v>grilW-</v>
      </c>
      <c r="AJ38" s="8" t="s">
        <v>190</v>
      </c>
      <c r="AK38" s="9" t="s">
        <v>191</v>
      </c>
      <c r="AM38" s="8" t="str">
        <f>AM23</f>
        <v>grilW+</v>
      </c>
      <c r="AN38" s="9" t="str">
        <f>AN23</f>
        <v>grilW-</v>
      </c>
      <c r="AO38" s="8" t="s">
        <v>190</v>
      </c>
      <c r="AP38" s="9" t="s">
        <v>191</v>
      </c>
      <c r="AR38" s="8" t="str">
        <f>AR23</f>
        <v>grilW+</v>
      </c>
      <c r="AS38" s="9" t="str">
        <f>AS23</f>
        <v>grilW-</v>
      </c>
      <c r="AT38" s="8" t="s">
        <v>190</v>
      </c>
      <c r="AU38" s="9" t="s">
        <v>191</v>
      </c>
    </row>
    <row r="39" spans="1:47" ht="15.75" customHeight="1" thickBot="1" x14ac:dyDescent="0.35">
      <c r="A39" s="36" t="str">
        <f>A9</f>
        <v>efF+</v>
      </c>
      <c r="B39" s="39" t="str">
        <f>B9</f>
        <v>efE+</v>
      </c>
      <c r="C39" s="10"/>
      <c r="D39" s="13">
        <f t="shared" ref="D39:D46" ca="1" si="9">IF(OR($C$5=4,$C$5=5),D9-$I68,$D68-D9)</f>
        <v>2</v>
      </c>
      <c r="E39" s="14">
        <f t="shared" ref="E39:E46" ca="1" si="10">IF(OR($C$5=4,$C$5=5),E9-$J68,$E68-E9)</f>
        <v>2</v>
      </c>
      <c r="F39" s="13">
        <f t="shared" ref="F39:F46" ca="1" si="11">IF(OR($C$5=4,$C$5=5),F9-$K68,$F68-F9)</f>
        <v>2</v>
      </c>
      <c r="G39" s="14">
        <f t="shared" ref="G39:G46" ca="1" si="12">IF(OR($C$5=4,$C$5=5),G9-$L68,$G68-G9)</f>
        <v>2</v>
      </c>
      <c r="I39" s="13">
        <f t="shared" ref="I39:I46" ca="1" si="13">IF(OR($C$5=4,$C$5=5),I9-$I68,$D68-I9)</f>
        <v>1</v>
      </c>
      <c r="J39" s="14">
        <f t="shared" ref="J39:J46" ca="1" si="14">IF(OR($C$5=4,$C$5=5),J9-$J68,$E68-J9)</f>
        <v>1</v>
      </c>
      <c r="K39" s="13">
        <f t="shared" ref="K39:K46" ca="1" si="15">IF(OR($C$5=4,$C$5=5),K9-$K68,$F68-K9)</f>
        <v>1</v>
      </c>
      <c r="L39" s="14">
        <f t="shared" ref="L39:L46" ca="1" si="16">IF(OR($C$5=4,$C$5=5),L9-$L68,$G68-L9)</f>
        <v>1</v>
      </c>
      <c r="N39" s="13">
        <f t="shared" ref="N39:N46" ca="1" si="17">IF(OR($C$5=4,$C$5=5),N9-$I68,$D68-N9)</f>
        <v>0</v>
      </c>
      <c r="O39" s="14">
        <f t="shared" ref="O39:O46" ca="1" si="18">IF(OR($C$5=4,$C$5=5),O9-$J68,$E68-O9)</f>
        <v>0</v>
      </c>
      <c r="P39" s="13">
        <f t="shared" ref="P39:P46" ca="1" si="19">IF(OR($C$5=4,$C$5=5),P9-$K68,$F68-P9)</f>
        <v>0</v>
      </c>
      <c r="Q39" s="14">
        <f t="shared" ref="Q39:Q46" ca="1" si="20">IF(OR($C$5=4,$C$5=5),Q9-$L68,$G68-Q9)</f>
        <v>0</v>
      </c>
      <c r="S39" s="13">
        <f t="shared" ref="S39:S46" ca="1" si="21">IF(OR($C$5=4,$C$5=5),S9-$I68,$D68-S9)</f>
        <v>2</v>
      </c>
      <c r="T39" s="14">
        <f t="shared" ref="T39:T46" ca="1" si="22">IF(OR($C$5=4,$C$5=5),T9-$J68,$E68-T9)</f>
        <v>2</v>
      </c>
      <c r="U39" s="13">
        <f t="shared" ref="U39:U46" ca="1" si="23">IF(OR($C$5=4,$C$5=5),U9-$K68,$F68-U9)</f>
        <v>2</v>
      </c>
      <c r="V39" s="14">
        <f t="shared" ref="V39:V46" ca="1" si="24">IF(OR($C$5=4,$C$5=5),V9-$L68,$G68-V9)</f>
        <v>2</v>
      </c>
      <c r="X39" s="13">
        <f t="shared" ref="X39:X46" ca="1" si="25">IF(OR($C$5=4,$C$5=5),X9-$I68,$D68-X9)</f>
        <v>1</v>
      </c>
      <c r="Y39" s="14">
        <f t="shared" ref="Y39:Y46" ca="1" si="26">IF(OR($C$5=4,$C$5=5),Y9-$J68,$E68-Y9)</f>
        <v>1</v>
      </c>
      <c r="Z39" s="13">
        <f t="shared" ref="Z39:Z46" ca="1" si="27">IF(OR($C$5=4,$C$5=5),Z9-$K68,$F68-Z9)</f>
        <v>1</v>
      </c>
      <c r="AA39" s="14">
        <f t="shared" ref="AA39:AA46" ca="1" si="28">IF(OR($C$5=4,$C$5=5),AA9-$L68,$G68-AA9)</f>
        <v>1</v>
      </c>
      <c r="AC39" s="13">
        <f t="shared" ref="AC39:AC46" ca="1" si="29">IF(OR($C$5=4,$C$5=5),AC9-$I68,$D68-AC9)</f>
        <v>0</v>
      </c>
      <c r="AD39" s="14">
        <f t="shared" ref="AD39:AD46" ca="1" si="30">IF(OR($C$5=4,$C$5=5),AD9-$J68,$E68-AD9)</f>
        <v>0</v>
      </c>
      <c r="AE39" s="13">
        <f t="shared" ref="AE39:AE46" ca="1" si="31">IF(OR($C$5=4,$C$5=5),AE9-$K68,$F68-AE9)</f>
        <v>0</v>
      </c>
      <c r="AF39" s="14">
        <f t="shared" ref="AF39:AF46" ca="1" si="32">IF(OR($C$5=4,$C$5=5),AF9-$L68,$G68-AF9)</f>
        <v>0</v>
      </c>
      <c r="AH39" s="13">
        <f t="shared" ref="AH39:AH46" ca="1" si="33">IF(OR($C$5=4,$C$5=5),AH9-$I68,$D68-AH9)</f>
        <v>2</v>
      </c>
      <c r="AI39" s="14">
        <f t="shared" ref="AI39:AI46" ca="1" si="34">IF(OR($C$5=4,$C$5=5),AI9-$J68,$E68-AI9)</f>
        <v>2</v>
      </c>
      <c r="AJ39" s="13">
        <f t="shared" ref="AJ39:AJ46" ca="1" si="35">IF(OR($C$5=4,$C$5=5),AJ9-$K68,$F68-AJ9)</f>
        <v>2</v>
      </c>
      <c r="AK39" s="14">
        <f t="shared" ref="AK39:AK46" ca="1" si="36">IF(OR($C$5=4,$C$5=5),AK9-$L68,$G68-AK9)</f>
        <v>2</v>
      </c>
      <c r="AM39" s="13">
        <f t="shared" ref="AM39:AM46" ca="1" si="37">IF(OR($C$5=4,$C$5=5),AM9-$I68,$D68-AM9)</f>
        <v>1</v>
      </c>
      <c r="AN39" s="14">
        <f t="shared" ref="AN39:AN46" ca="1" si="38">IF(OR($C$5=4,$C$5=5),AN9-$J68,$E68-AN9)</f>
        <v>1</v>
      </c>
      <c r="AO39" s="13">
        <f t="shared" ref="AO39:AO46" ca="1" si="39">IF(OR($C$5=4,$C$5=5),AO9-$K68,$F68-AO9)</f>
        <v>1</v>
      </c>
      <c r="AP39" s="14">
        <f t="shared" ref="AP39:AP46" ca="1" si="40">IF(OR($C$5=4,$C$5=5),AP9-$L68,$G68-AP9)</f>
        <v>1</v>
      </c>
      <c r="AR39" s="13">
        <f t="shared" ref="AR39:AR46" ca="1" si="41">IF(OR($C$5=4,$C$5=5),AR9-$I68,$D68-AR9)</f>
        <v>0</v>
      </c>
      <c r="AS39" s="14">
        <f t="shared" ref="AS39:AS46" ca="1" si="42">IF(OR($C$5=4,$C$5=5),AS9-$J68,$E68-AS9)</f>
        <v>0</v>
      </c>
      <c r="AT39" s="13">
        <f t="shared" ref="AT39:AT46" ca="1" si="43">IF(OR($C$5=4,$C$5=5),AT9-$K68,$F68-AT9)</f>
        <v>0</v>
      </c>
      <c r="AU39" s="14">
        <f t="shared" ref="AU39:AU46" ca="1" si="44">IF(OR($C$5=4,$C$5=5),AU9-$L68,$G68-AU9)</f>
        <v>0</v>
      </c>
    </row>
    <row r="40" spans="1:47" x14ac:dyDescent="0.3">
      <c r="A40" s="37"/>
      <c r="B40" s="33"/>
      <c r="C40" s="11"/>
      <c r="D40" s="15">
        <f t="shared" ca="1" si="9"/>
        <v>2</v>
      </c>
      <c r="E40" s="16">
        <f t="shared" ca="1" si="10"/>
        <v>2</v>
      </c>
      <c r="F40" s="15">
        <f t="shared" ca="1" si="11"/>
        <v>2</v>
      </c>
      <c r="G40" s="16">
        <f t="shared" ca="1" si="12"/>
        <v>2</v>
      </c>
      <c r="I40" s="15">
        <f t="shared" ca="1" si="13"/>
        <v>1</v>
      </c>
      <c r="J40" s="16">
        <f t="shared" ca="1" si="14"/>
        <v>1</v>
      </c>
      <c r="K40" s="15">
        <f t="shared" ca="1" si="15"/>
        <v>1</v>
      </c>
      <c r="L40" s="16">
        <f t="shared" ca="1" si="16"/>
        <v>1</v>
      </c>
      <c r="N40" s="15">
        <f t="shared" ca="1" si="17"/>
        <v>0</v>
      </c>
      <c r="O40" s="16">
        <f t="shared" ca="1" si="18"/>
        <v>0</v>
      </c>
      <c r="P40" s="15">
        <f t="shared" ca="1" si="19"/>
        <v>0</v>
      </c>
      <c r="Q40" s="16">
        <f t="shared" ca="1" si="20"/>
        <v>0</v>
      </c>
      <c r="S40" s="15">
        <f t="shared" ca="1" si="21"/>
        <v>2</v>
      </c>
      <c r="T40" s="16">
        <f t="shared" ca="1" si="22"/>
        <v>2</v>
      </c>
      <c r="U40" s="15">
        <f t="shared" ca="1" si="23"/>
        <v>2</v>
      </c>
      <c r="V40" s="16">
        <f t="shared" ca="1" si="24"/>
        <v>2</v>
      </c>
      <c r="X40" s="15">
        <f t="shared" ca="1" si="25"/>
        <v>1</v>
      </c>
      <c r="Y40" s="16">
        <f t="shared" ca="1" si="26"/>
        <v>1</v>
      </c>
      <c r="Z40" s="15">
        <f t="shared" ca="1" si="27"/>
        <v>1</v>
      </c>
      <c r="AA40" s="16">
        <f t="shared" ca="1" si="28"/>
        <v>1</v>
      </c>
      <c r="AC40" s="15">
        <f t="shared" ca="1" si="29"/>
        <v>0</v>
      </c>
      <c r="AD40" s="16">
        <f t="shared" ca="1" si="30"/>
        <v>0</v>
      </c>
      <c r="AE40" s="15">
        <f t="shared" ca="1" si="31"/>
        <v>0</v>
      </c>
      <c r="AF40" s="16">
        <f t="shared" ca="1" si="32"/>
        <v>0</v>
      </c>
      <c r="AH40" s="15">
        <f t="shared" ca="1" si="33"/>
        <v>2</v>
      </c>
      <c r="AI40" s="16">
        <f t="shared" ca="1" si="34"/>
        <v>2</v>
      </c>
      <c r="AJ40" s="15">
        <f t="shared" ca="1" si="35"/>
        <v>2</v>
      </c>
      <c r="AK40" s="16">
        <f t="shared" ca="1" si="36"/>
        <v>2</v>
      </c>
      <c r="AM40" s="15">
        <f t="shared" ca="1" si="37"/>
        <v>1</v>
      </c>
      <c r="AN40" s="16">
        <f t="shared" ca="1" si="38"/>
        <v>1</v>
      </c>
      <c r="AO40" s="15">
        <f t="shared" ca="1" si="39"/>
        <v>1</v>
      </c>
      <c r="AP40" s="16">
        <f t="shared" ca="1" si="40"/>
        <v>1</v>
      </c>
      <c r="AR40" s="15">
        <f t="shared" ca="1" si="41"/>
        <v>0</v>
      </c>
      <c r="AS40" s="16">
        <f t="shared" ca="1" si="42"/>
        <v>0</v>
      </c>
      <c r="AT40" s="15">
        <f t="shared" ca="1" si="43"/>
        <v>0</v>
      </c>
      <c r="AU40" s="16">
        <f t="shared" ca="1" si="44"/>
        <v>0</v>
      </c>
    </row>
    <row r="41" spans="1:47" ht="15.75" customHeight="1" thickBot="1" x14ac:dyDescent="0.35">
      <c r="A41" s="37"/>
      <c r="B41" s="40" t="str">
        <f>B11</f>
        <v>efEo</v>
      </c>
      <c r="C41" s="11"/>
      <c r="D41" s="15">
        <f t="shared" ca="1" si="9"/>
        <v>2</v>
      </c>
      <c r="E41" s="16">
        <f t="shared" ca="1" si="10"/>
        <v>2</v>
      </c>
      <c r="F41" s="15">
        <f t="shared" ca="1" si="11"/>
        <v>2</v>
      </c>
      <c r="G41" s="16">
        <f t="shared" ca="1" si="12"/>
        <v>2</v>
      </c>
      <c r="I41" s="15">
        <f t="shared" ca="1" si="13"/>
        <v>1</v>
      </c>
      <c r="J41" s="16">
        <f t="shared" ca="1" si="14"/>
        <v>1</v>
      </c>
      <c r="K41" s="15">
        <f t="shared" ca="1" si="15"/>
        <v>1</v>
      </c>
      <c r="L41" s="16">
        <f t="shared" ca="1" si="16"/>
        <v>1</v>
      </c>
      <c r="N41" s="15">
        <f t="shared" ca="1" si="17"/>
        <v>0</v>
      </c>
      <c r="O41" s="16">
        <f t="shared" ca="1" si="18"/>
        <v>0</v>
      </c>
      <c r="P41" s="15">
        <f t="shared" ca="1" si="19"/>
        <v>0</v>
      </c>
      <c r="Q41" s="16">
        <f t="shared" ca="1" si="20"/>
        <v>0</v>
      </c>
      <c r="S41" s="15">
        <f t="shared" ca="1" si="21"/>
        <v>2</v>
      </c>
      <c r="T41" s="16">
        <f t="shared" ca="1" si="22"/>
        <v>2</v>
      </c>
      <c r="U41" s="15">
        <f t="shared" ca="1" si="23"/>
        <v>2</v>
      </c>
      <c r="V41" s="16">
        <f t="shared" ca="1" si="24"/>
        <v>2</v>
      </c>
      <c r="X41" s="15">
        <f t="shared" ca="1" si="25"/>
        <v>1</v>
      </c>
      <c r="Y41" s="16">
        <f t="shared" ca="1" si="26"/>
        <v>1</v>
      </c>
      <c r="Z41" s="15">
        <f t="shared" ca="1" si="27"/>
        <v>1</v>
      </c>
      <c r="AA41" s="16">
        <f t="shared" ca="1" si="28"/>
        <v>1</v>
      </c>
      <c r="AC41" s="15">
        <f t="shared" ca="1" si="29"/>
        <v>0</v>
      </c>
      <c r="AD41" s="16">
        <f t="shared" ca="1" si="30"/>
        <v>0</v>
      </c>
      <c r="AE41" s="15">
        <f t="shared" ca="1" si="31"/>
        <v>0</v>
      </c>
      <c r="AF41" s="16">
        <f t="shared" ca="1" si="32"/>
        <v>0</v>
      </c>
      <c r="AH41" s="15">
        <f t="shared" ca="1" si="33"/>
        <v>2</v>
      </c>
      <c r="AI41" s="16">
        <f t="shared" ca="1" si="34"/>
        <v>2</v>
      </c>
      <c r="AJ41" s="15">
        <f t="shared" ca="1" si="35"/>
        <v>2</v>
      </c>
      <c r="AK41" s="16">
        <f t="shared" ca="1" si="36"/>
        <v>2</v>
      </c>
      <c r="AM41" s="15">
        <f t="shared" ca="1" si="37"/>
        <v>1</v>
      </c>
      <c r="AN41" s="16">
        <f t="shared" ca="1" si="38"/>
        <v>1</v>
      </c>
      <c r="AO41" s="15">
        <f t="shared" ca="1" si="39"/>
        <v>1</v>
      </c>
      <c r="AP41" s="16">
        <f t="shared" ca="1" si="40"/>
        <v>1</v>
      </c>
      <c r="AR41" s="15">
        <f t="shared" ca="1" si="41"/>
        <v>0</v>
      </c>
      <c r="AS41" s="16">
        <f t="shared" ca="1" si="42"/>
        <v>0</v>
      </c>
      <c r="AT41" s="15">
        <f t="shared" ca="1" si="43"/>
        <v>0</v>
      </c>
      <c r="AU41" s="16">
        <f t="shared" ca="1" si="44"/>
        <v>0</v>
      </c>
    </row>
    <row r="42" spans="1:47" ht="15" customHeight="1" thickBot="1" x14ac:dyDescent="0.35">
      <c r="A42" s="38"/>
      <c r="B42" s="35"/>
      <c r="C42" s="12"/>
      <c r="D42" s="17">
        <f t="shared" ca="1" si="9"/>
        <v>2</v>
      </c>
      <c r="E42" s="18">
        <f t="shared" ca="1" si="10"/>
        <v>2</v>
      </c>
      <c r="F42" s="17">
        <f t="shared" ca="1" si="11"/>
        <v>2</v>
      </c>
      <c r="G42" s="18">
        <f t="shared" ca="1" si="12"/>
        <v>2</v>
      </c>
      <c r="I42" s="17">
        <f t="shared" ca="1" si="13"/>
        <v>1</v>
      </c>
      <c r="J42" s="18">
        <f t="shared" ca="1" si="14"/>
        <v>1</v>
      </c>
      <c r="K42" s="17">
        <f t="shared" ca="1" si="15"/>
        <v>1</v>
      </c>
      <c r="L42" s="18">
        <f t="shared" ca="1" si="16"/>
        <v>1</v>
      </c>
      <c r="N42" s="17">
        <f t="shared" ca="1" si="17"/>
        <v>0</v>
      </c>
      <c r="O42" s="18">
        <f t="shared" ca="1" si="18"/>
        <v>0</v>
      </c>
      <c r="P42" s="17">
        <f t="shared" ca="1" si="19"/>
        <v>0</v>
      </c>
      <c r="Q42" s="18">
        <f t="shared" ca="1" si="20"/>
        <v>0</v>
      </c>
      <c r="S42" s="17">
        <f t="shared" ca="1" si="21"/>
        <v>2</v>
      </c>
      <c r="T42" s="18">
        <f t="shared" ca="1" si="22"/>
        <v>2</v>
      </c>
      <c r="U42" s="17">
        <f t="shared" ca="1" si="23"/>
        <v>2</v>
      </c>
      <c r="V42" s="18">
        <f t="shared" ca="1" si="24"/>
        <v>2</v>
      </c>
      <c r="X42" s="17">
        <f t="shared" ca="1" si="25"/>
        <v>1</v>
      </c>
      <c r="Y42" s="18">
        <f t="shared" ca="1" si="26"/>
        <v>1</v>
      </c>
      <c r="Z42" s="17">
        <f t="shared" ca="1" si="27"/>
        <v>1</v>
      </c>
      <c r="AA42" s="18">
        <f t="shared" ca="1" si="28"/>
        <v>1</v>
      </c>
      <c r="AC42" s="17">
        <f t="shared" ca="1" si="29"/>
        <v>0</v>
      </c>
      <c r="AD42" s="18">
        <f t="shared" ca="1" si="30"/>
        <v>0</v>
      </c>
      <c r="AE42" s="17">
        <f t="shared" ca="1" si="31"/>
        <v>0</v>
      </c>
      <c r="AF42" s="18">
        <f t="shared" ca="1" si="32"/>
        <v>0</v>
      </c>
      <c r="AH42" s="17">
        <f t="shared" ca="1" si="33"/>
        <v>2</v>
      </c>
      <c r="AI42" s="18">
        <f t="shared" ca="1" si="34"/>
        <v>2</v>
      </c>
      <c r="AJ42" s="17">
        <f t="shared" ca="1" si="35"/>
        <v>2</v>
      </c>
      <c r="AK42" s="18">
        <f t="shared" ca="1" si="36"/>
        <v>2</v>
      </c>
      <c r="AM42" s="17">
        <f t="shared" ca="1" si="37"/>
        <v>1</v>
      </c>
      <c r="AN42" s="18">
        <f t="shared" ca="1" si="38"/>
        <v>1</v>
      </c>
      <c r="AO42" s="17">
        <f t="shared" ca="1" si="39"/>
        <v>1</v>
      </c>
      <c r="AP42" s="18">
        <f t="shared" ca="1" si="40"/>
        <v>1</v>
      </c>
      <c r="AR42" s="17">
        <f t="shared" ca="1" si="41"/>
        <v>0</v>
      </c>
      <c r="AS42" s="18">
        <f t="shared" ca="1" si="42"/>
        <v>0</v>
      </c>
      <c r="AT42" s="17">
        <f t="shared" ca="1" si="43"/>
        <v>0</v>
      </c>
      <c r="AU42" s="18">
        <f t="shared" ca="1" si="44"/>
        <v>0</v>
      </c>
    </row>
    <row r="43" spans="1:47" ht="15.75" customHeight="1" thickBot="1" x14ac:dyDescent="0.35">
      <c r="A43" s="36" t="str">
        <f>A13</f>
        <v>efFo</v>
      </c>
      <c r="B43" s="39" t="str">
        <f>B13</f>
        <v>efE+</v>
      </c>
      <c r="C43" s="10"/>
      <c r="D43" s="13">
        <f t="shared" ca="1" si="9"/>
        <v>2</v>
      </c>
      <c r="E43" s="14">
        <f t="shared" ca="1" si="10"/>
        <v>2</v>
      </c>
      <c r="F43" s="13">
        <f t="shared" ca="1" si="11"/>
        <v>2</v>
      </c>
      <c r="G43" s="14">
        <f t="shared" ca="1" si="12"/>
        <v>2</v>
      </c>
      <c r="I43" s="13">
        <f t="shared" ca="1" si="13"/>
        <v>1</v>
      </c>
      <c r="J43" s="14">
        <f t="shared" ca="1" si="14"/>
        <v>1</v>
      </c>
      <c r="K43" s="13">
        <f t="shared" ca="1" si="15"/>
        <v>1</v>
      </c>
      <c r="L43" s="14">
        <f t="shared" ca="1" si="16"/>
        <v>1</v>
      </c>
      <c r="N43" s="13">
        <f t="shared" ca="1" si="17"/>
        <v>0</v>
      </c>
      <c r="O43" s="14">
        <f t="shared" ca="1" si="18"/>
        <v>0</v>
      </c>
      <c r="P43" s="13">
        <f t="shared" ca="1" si="19"/>
        <v>0</v>
      </c>
      <c r="Q43" s="14">
        <f t="shared" ca="1" si="20"/>
        <v>0</v>
      </c>
      <c r="S43" s="13">
        <f t="shared" ca="1" si="21"/>
        <v>2</v>
      </c>
      <c r="T43" s="14">
        <f t="shared" ca="1" si="22"/>
        <v>2</v>
      </c>
      <c r="U43" s="13">
        <f t="shared" ca="1" si="23"/>
        <v>2</v>
      </c>
      <c r="V43" s="14">
        <f t="shared" ca="1" si="24"/>
        <v>2</v>
      </c>
      <c r="X43" s="13">
        <f t="shared" ca="1" si="25"/>
        <v>1</v>
      </c>
      <c r="Y43" s="14">
        <f t="shared" ca="1" si="26"/>
        <v>1</v>
      </c>
      <c r="Z43" s="13">
        <f t="shared" ca="1" si="27"/>
        <v>1</v>
      </c>
      <c r="AA43" s="14">
        <f t="shared" ca="1" si="28"/>
        <v>1</v>
      </c>
      <c r="AC43" s="13">
        <f t="shared" ca="1" si="29"/>
        <v>0</v>
      </c>
      <c r="AD43" s="14">
        <f t="shared" ca="1" si="30"/>
        <v>0</v>
      </c>
      <c r="AE43" s="13">
        <f t="shared" ca="1" si="31"/>
        <v>0</v>
      </c>
      <c r="AF43" s="14">
        <f t="shared" ca="1" si="32"/>
        <v>0</v>
      </c>
      <c r="AH43" s="13">
        <f t="shared" ca="1" si="33"/>
        <v>2</v>
      </c>
      <c r="AI43" s="14">
        <f t="shared" ca="1" si="34"/>
        <v>2</v>
      </c>
      <c r="AJ43" s="13">
        <f t="shared" ca="1" si="35"/>
        <v>2</v>
      </c>
      <c r="AK43" s="14">
        <f t="shared" ca="1" si="36"/>
        <v>2</v>
      </c>
      <c r="AM43" s="13">
        <f t="shared" ca="1" si="37"/>
        <v>1</v>
      </c>
      <c r="AN43" s="14">
        <f t="shared" ca="1" si="38"/>
        <v>1</v>
      </c>
      <c r="AO43" s="13">
        <f t="shared" ca="1" si="39"/>
        <v>1</v>
      </c>
      <c r="AP43" s="14">
        <f t="shared" ca="1" si="40"/>
        <v>1</v>
      </c>
      <c r="AR43" s="13">
        <f t="shared" ca="1" si="41"/>
        <v>0</v>
      </c>
      <c r="AS43" s="14">
        <f t="shared" ca="1" si="42"/>
        <v>0</v>
      </c>
      <c r="AT43" s="13">
        <f t="shared" ca="1" si="43"/>
        <v>0</v>
      </c>
      <c r="AU43" s="14">
        <f t="shared" ca="1" si="44"/>
        <v>0</v>
      </c>
    </row>
    <row r="44" spans="1:47" x14ac:dyDescent="0.3">
      <c r="A44" s="37"/>
      <c r="B44" s="33"/>
      <c r="C44" s="11"/>
      <c r="D44" s="15">
        <f t="shared" ca="1" si="9"/>
        <v>2</v>
      </c>
      <c r="E44" s="16">
        <f t="shared" ca="1" si="10"/>
        <v>2</v>
      </c>
      <c r="F44" s="15">
        <f t="shared" ca="1" si="11"/>
        <v>2</v>
      </c>
      <c r="G44" s="16">
        <f t="shared" ca="1" si="12"/>
        <v>2</v>
      </c>
      <c r="I44" s="15">
        <f t="shared" ca="1" si="13"/>
        <v>1</v>
      </c>
      <c r="J44" s="16">
        <f t="shared" ca="1" si="14"/>
        <v>1</v>
      </c>
      <c r="K44" s="15">
        <f t="shared" ca="1" si="15"/>
        <v>1</v>
      </c>
      <c r="L44" s="16">
        <f t="shared" ca="1" si="16"/>
        <v>1</v>
      </c>
      <c r="N44" s="15">
        <f t="shared" ca="1" si="17"/>
        <v>0</v>
      </c>
      <c r="O44" s="16">
        <f t="shared" ca="1" si="18"/>
        <v>0</v>
      </c>
      <c r="P44" s="15">
        <f t="shared" ca="1" si="19"/>
        <v>0</v>
      </c>
      <c r="Q44" s="16">
        <f t="shared" ca="1" si="20"/>
        <v>0</v>
      </c>
      <c r="S44" s="15">
        <f t="shared" ca="1" si="21"/>
        <v>2</v>
      </c>
      <c r="T44" s="16">
        <f t="shared" ca="1" si="22"/>
        <v>2</v>
      </c>
      <c r="U44" s="15">
        <f t="shared" ca="1" si="23"/>
        <v>2</v>
      </c>
      <c r="V44" s="16">
        <f t="shared" ca="1" si="24"/>
        <v>2</v>
      </c>
      <c r="X44" s="15">
        <f t="shared" ca="1" si="25"/>
        <v>1</v>
      </c>
      <c r="Y44" s="16">
        <f t="shared" ca="1" si="26"/>
        <v>1</v>
      </c>
      <c r="Z44" s="15">
        <f t="shared" ca="1" si="27"/>
        <v>1</v>
      </c>
      <c r="AA44" s="16">
        <f t="shared" ca="1" si="28"/>
        <v>1</v>
      </c>
      <c r="AC44" s="15">
        <f t="shared" ca="1" si="29"/>
        <v>0</v>
      </c>
      <c r="AD44" s="16">
        <f t="shared" ca="1" si="30"/>
        <v>0</v>
      </c>
      <c r="AE44" s="15">
        <f t="shared" ca="1" si="31"/>
        <v>0</v>
      </c>
      <c r="AF44" s="16">
        <f t="shared" ca="1" si="32"/>
        <v>0</v>
      </c>
      <c r="AH44" s="15">
        <f t="shared" ca="1" si="33"/>
        <v>2</v>
      </c>
      <c r="AI44" s="16">
        <f t="shared" ca="1" si="34"/>
        <v>2</v>
      </c>
      <c r="AJ44" s="15">
        <f t="shared" ca="1" si="35"/>
        <v>2</v>
      </c>
      <c r="AK44" s="16">
        <f t="shared" ca="1" si="36"/>
        <v>2</v>
      </c>
      <c r="AM44" s="15">
        <f t="shared" ca="1" si="37"/>
        <v>1</v>
      </c>
      <c r="AN44" s="16">
        <f t="shared" ca="1" si="38"/>
        <v>1</v>
      </c>
      <c r="AO44" s="15">
        <f t="shared" ca="1" si="39"/>
        <v>1</v>
      </c>
      <c r="AP44" s="16">
        <f t="shared" ca="1" si="40"/>
        <v>1</v>
      </c>
      <c r="AR44" s="15">
        <f t="shared" ca="1" si="41"/>
        <v>0</v>
      </c>
      <c r="AS44" s="16">
        <f t="shared" ca="1" si="42"/>
        <v>0</v>
      </c>
      <c r="AT44" s="15">
        <f t="shared" ca="1" si="43"/>
        <v>0</v>
      </c>
      <c r="AU44" s="16">
        <f t="shared" ca="1" si="44"/>
        <v>0</v>
      </c>
    </row>
    <row r="45" spans="1:47" ht="15.75" customHeight="1" thickBot="1" x14ac:dyDescent="0.35">
      <c r="A45" s="37"/>
      <c r="B45" s="40" t="str">
        <f>B15</f>
        <v>efEo</v>
      </c>
      <c r="C45" s="11"/>
      <c r="D45" s="15">
        <f t="shared" ca="1" si="9"/>
        <v>2</v>
      </c>
      <c r="E45" s="16">
        <f t="shared" ca="1" si="10"/>
        <v>2</v>
      </c>
      <c r="F45" s="15">
        <f t="shared" ca="1" si="11"/>
        <v>2</v>
      </c>
      <c r="G45" s="16">
        <f t="shared" ca="1" si="12"/>
        <v>2</v>
      </c>
      <c r="I45" s="15">
        <f t="shared" ca="1" si="13"/>
        <v>1</v>
      </c>
      <c r="J45" s="16">
        <f t="shared" ca="1" si="14"/>
        <v>1</v>
      </c>
      <c r="K45" s="15">
        <f t="shared" ca="1" si="15"/>
        <v>1</v>
      </c>
      <c r="L45" s="16">
        <f t="shared" ca="1" si="16"/>
        <v>1</v>
      </c>
      <c r="N45" s="15">
        <f t="shared" ca="1" si="17"/>
        <v>0</v>
      </c>
      <c r="O45" s="16">
        <f t="shared" ca="1" si="18"/>
        <v>0</v>
      </c>
      <c r="P45" s="15">
        <f t="shared" ca="1" si="19"/>
        <v>0</v>
      </c>
      <c r="Q45" s="16">
        <f t="shared" ca="1" si="20"/>
        <v>0</v>
      </c>
      <c r="S45" s="15">
        <f t="shared" ca="1" si="21"/>
        <v>2</v>
      </c>
      <c r="T45" s="16">
        <f t="shared" ca="1" si="22"/>
        <v>2</v>
      </c>
      <c r="U45" s="15">
        <f t="shared" ca="1" si="23"/>
        <v>2</v>
      </c>
      <c r="V45" s="16">
        <f t="shared" ca="1" si="24"/>
        <v>2</v>
      </c>
      <c r="X45" s="15">
        <f t="shared" ca="1" si="25"/>
        <v>1</v>
      </c>
      <c r="Y45" s="16">
        <f t="shared" ca="1" si="26"/>
        <v>1</v>
      </c>
      <c r="Z45" s="15">
        <f t="shared" ca="1" si="27"/>
        <v>1</v>
      </c>
      <c r="AA45" s="16">
        <f t="shared" ca="1" si="28"/>
        <v>1</v>
      </c>
      <c r="AC45" s="15">
        <f t="shared" ca="1" si="29"/>
        <v>0</v>
      </c>
      <c r="AD45" s="16">
        <f t="shared" ca="1" si="30"/>
        <v>0</v>
      </c>
      <c r="AE45" s="15">
        <f t="shared" ca="1" si="31"/>
        <v>0</v>
      </c>
      <c r="AF45" s="16">
        <f t="shared" ca="1" si="32"/>
        <v>0</v>
      </c>
      <c r="AH45" s="15">
        <f t="shared" ca="1" si="33"/>
        <v>2</v>
      </c>
      <c r="AI45" s="16">
        <f t="shared" ca="1" si="34"/>
        <v>2</v>
      </c>
      <c r="AJ45" s="15">
        <f t="shared" ca="1" si="35"/>
        <v>2</v>
      </c>
      <c r="AK45" s="16">
        <f t="shared" ca="1" si="36"/>
        <v>2</v>
      </c>
      <c r="AM45" s="15">
        <f t="shared" ca="1" si="37"/>
        <v>1</v>
      </c>
      <c r="AN45" s="16">
        <f t="shared" ca="1" si="38"/>
        <v>1</v>
      </c>
      <c r="AO45" s="15">
        <f t="shared" ca="1" si="39"/>
        <v>1</v>
      </c>
      <c r="AP45" s="16">
        <f t="shared" ca="1" si="40"/>
        <v>1</v>
      </c>
      <c r="AR45" s="15">
        <f t="shared" ca="1" si="41"/>
        <v>0</v>
      </c>
      <c r="AS45" s="16">
        <f t="shared" ca="1" si="42"/>
        <v>0</v>
      </c>
      <c r="AT45" s="15">
        <f t="shared" ca="1" si="43"/>
        <v>0</v>
      </c>
      <c r="AU45" s="16">
        <f t="shared" ca="1" si="44"/>
        <v>0</v>
      </c>
    </row>
    <row r="46" spans="1:47" ht="15" customHeight="1" thickBot="1" x14ac:dyDescent="0.35">
      <c r="A46" s="38"/>
      <c r="B46" s="35"/>
      <c r="C46" s="12"/>
      <c r="D46" s="17">
        <f t="shared" ca="1" si="9"/>
        <v>2</v>
      </c>
      <c r="E46" s="18">
        <f t="shared" ca="1" si="10"/>
        <v>2</v>
      </c>
      <c r="F46" s="17">
        <f t="shared" ca="1" si="11"/>
        <v>2</v>
      </c>
      <c r="G46" s="18">
        <f t="shared" ca="1" si="12"/>
        <v>2</v>
      </c>
      <c r="I46" s="17">
        <f t="shared" ca="1" si="13"/>
        <v>1</v>
      </c>
      <c r="J46" s="18">
        <f t="shared" ca="1" si="14"/>
        <v>1</v>
      </c>
      <c r="K46" s="17">
        <f t="shared" ca="1" si="15"/>
        <v>1</v>
      </c>
      <c r="L46" s="18">
        <f t="shared" ca="1" si="16"/>
        <v>1</v>
      </c>
      <c r="N46" s="17">
        <f t="shared" ca="1" si="17"/>
        <v>0</v>
      </c>
      <c r="O46" s="18">
        <f t="shared" ca="1" si="18"/>
        <v>0</v>
      </c>
      <c r="P46" s="17">
        <f t="shared" ca="1" si="19"/>
        <v>0</v>
      </c>
      <c r="Q46" s="18">
        <f t="shared" ca="1" si="20"/>
        <v>0</v>
      </c>
      <c r="S46" s="17">
        <f t="shared" ca="1" si="21"/>
        <v>2</v>
      </c>
      <c r="T46" s="18">
        <f t="shared" ca="1" si="22"/>
        <v>2</v>
      </c>
      <c r="U46" s="17">
        <f t="shared" ca="1" si="23"/>
        <v>2</v>
      </c>
      <c r="V46" s="18">
        <f t="shared" ca="1" si="24"/>
        <v>2</v>
      </c>
      <c r="X46" s="17">
        <f t="shared" ca="1" si="25"/>
        <v>1</v>
      </c>
      <c r="Y46" s="18">
        <f t="shared" ca="1" si="26"/>
        <v>1</v>
      </c>
      <c r="Z46" s="17">
        <f t="shared" ca="1" si="27"/>
        <v>1</v>
      </c>
      <c r="AA46" s="18">
        <f t="shared" ca="1" si="28"/>
        <v>1</v>
      </c>
      <c r="AC46" s="17">
        <f t="shared" ca="1" si="29"/>
        <v>0</v>
      </c>
      <c r="AD46" s="18">
        <f t="shared" ca="1" si="30"/>
        <v>0</v>
      </c>
      <c r="AE46" s="17">
        <f t="shared" ca="1" si="31"/>
        <v>0</v>
      </c>
      <c r="AF46" s="18">
        <f t="shared" ca="1" si="32"/>
        <v>0</v>
      </c>
      <c r="AH46" s="17">
        <f t="shared" ca="1" si="33"/>
        <v>2</v>
      </c>
      <c r="AI46" s="18">
        <f t="shared" ca="1" si="34"/>
        <v>2</v>
      </c>
      <c r="AJ46" s="17">
        <f t="shared" ca="1" si="35"/>
        <v>2</v>
      </c>
      <c r="AK46" s="18">
        <f t="shared" ca="1" si="36"/>
        <v>2</v>
      </c>
      <c r="AM46" s="17">
        <f t="shared" ca="1" si="37"/>
        <v>1</v>
      </c>
      <c r="AN46" s="18">
        <f t="shared" ca="1" si="38"/>
        <v>1</v>
      </c>
      <c r="AO46" s="17">
        <f t="shared" ca="1" si="39"/>
        <v>1</v>
      </c>
      <c r="AP46" s="18">
        <f t="shared" ca="1" si="40"/>
        <v>1</v>
      </c>
      <c r="AR46" s="17">
        <f t="shared" ca="1" si="41"/>
        <v>0</v>
      </c>
      <c r="AS46" s="18">
        <f t="shared" ca="1" si="42"/>
        <v>0</v>
      </c>
      <c r="AT46" s="17">
        <f t="shared" ca="1" si="43"/>
        <v>0</v>
      </c>
      <c r="AU46" s="18">
        <f t="shared" ca="1" si="44"/>
        <v>0</v>
      </c>
    </row>
    <row r="50" spans="4:12" ht="15.75" customHeight="1" thickBot="1" x14ac:dyDescent="0.35">
      <c r="D50" s="34" t="str">
        <f ca="1">"Reference data: "&amp;OFFSET(I50,C19,0)</f>
        <v>Reference data: WpoEPBo</v>
      </c>
      <c r="E50" s="35"/>
      <c r="F50" s="35"/>
      <c r="G50" s="35"/>
    </row>
    <row r="51" spans="4:12" x14ac:dyDescent="0.3">
      <c r="D51" s="31" t="str">
        <f>D7</f>
        <v>onbP+</v>
      </c>
      <c r="E51" s="32"/>
      <c r="F51" s="31" t="str">
        <f>F7</f>
        <v>onbP-</v>
      </c>
      <c r="G51" s="32"/>
      <c r="I51" t="str">
        <f>E21&amp;F21</f>
        <v>WpoEPBo</v>
      </c>
    </row>
    <row r="52" spans="4:12" ht="15.75" customHeight="1" thickBot="1" x14ac:dyDescent="0.35">
      <c r="D52" s="8" t="str">
        <f>D8</f>
        <v>grilW+</v>
      </c>
      <c r="E52" s="9" t="str">
        <f>E8</f>
        <v>grilW-</v>
      </c>
      <c r="F52" s="8" t="str">
        <f>F8</f>
        <v>grilW+</v>
      </c>
      <c r="G52" s="9" t="str">
        <f>G8</f>
        <v>grilW-</v>
      </c>
      <c r="I52" t="str">
        <f>J21&amp;K21</f>
        <v>WpoEPB+</v>
      </c>
    </row>
    <row r="53" spans="4:12" x14ac:dyDescent="0.3">
      <c r="D53" s="13">
        <f t="shared" ref="D53:G60" ca="1" si="45">IF($C$19=1,D9,IF($C$19=2,I9,IF($C$19=3,N9,S9)))</f>
        <v>23</v>
      </c>
      <c r="E53" s="14">
        <f t="shared" ca="1" si="45"/>
        <v>23</v>
      </c>
      <c r="F53" s="13">
        <f t="shared" ca="1" si="45"/>
        <v>23</v>
      </c>
      <c r="G53" s="14">
        <f t="shared" ca="1" si="45"/>
        <v>23</v>
      </c>
      <c r="I53" t="str">
        <f>O21&amp;P21</f>
        <v>WP+EPBo</v>
      </c>
    </row>
    <row r="54" spans="4:12" x14ac:dyDescent="0.3">
      <c r="D54" s="15">
        <f t="shared" ca="1" si="45"/>
        <v>23</v>
      </c>
      <c r="E54" s="16">
        <f t="shared" ca="1" si="45"/>
        <v>23</v>
      </c>
      <c r="F54" s="15">
        <f t="shared" ca="1" si="45"/>
        <v>23</v>
      </c>
      <c r="G54" s="16">
        <f t="shared" ca="1" si="45"/>
        <v>23</v>
      </c>
      <c r="I54" t="str">
        <f>T21&amp;U21</f>
        <v>WP+EPB+</v>
      </c>
    </row>
    <row r="55" spans="4:12" x14ac:dyDescent="0.3">
      <c r="D55" s="15">
        <f t="shared" ca="1" si="45"/>
        <v>23</v>
      </c>
      <c r="E55" s="16">
        <f t="shared" ca="1" si="45"/>
        <v>23</v>
      </c>
      <c r="F55" s="15">
        <f t="shared" ca="1" si="45"/>
        <v>23</v>
      </c>
      <c r="G55" s="16">
        <f t="shared" ca="1" si="45"/>
        <v>23</v>
      </c>
    </row>
    <row r="56" spans="4:12" ht="15.75" customHeight="1" thickBot="1" x14ac:dyDescent="0.35">
      <c r="D56" s="17">
        <f t="shared" ca="1" si="45"/>
        <v>23</v>
      </c>
      <c r="E56" s="18">
        <f t="shared" ca="1" si="45"/>
        <v>23</v>
      </c>
      <c r="F56" s="17">
        <f t="shared" ca="1" si="45"/>
        <v>23</v>
      </c>
      <c r="G56" s="18">
        <f t="shared" ca="1" si="45"/>
        <v>23</v>
      </c>
    </row>
    <row r="57" spans="4:12" x14ac:dyDescent="0.3">
      <c r="D57" s="13">
        <f t="shared" ca="1" si="45"/>
        <v>23</v>
      </c>
      <c r="E57" s="14">
        <f t="shared" ca="1" si="45"/>
        <v>23</v>
      </c>
      <c r="F57" s="13">
        <f t="shared" ca="1" si="45"/>
        <v>23</v>
      </c>
      <c r="G57" s="14">
        <f t="shared" ca="1" si="45"/>
        <v>23</v>
      </c>
    </row>
    <row r="58" spans="4:12" x14ac:dyDescent="0.3">
      <c r="D58" s="15">
        <f t="shared" ca="1" si="45"/>
        <v>23</v>
      </c>
      <c r="E58" s="16">
        <f t="shared" ca="1" si="45"/>
        <v>23</v>
      </c>
      <c r="F58" s="15">
        <f t="shared" ca="1" si="45"/>
        <v>23</v>
      </c>
      <c r="G58" s="16">
        <f t="shared" ca="1" si="45"/>
        <v>23</v>
      </c>
    </row>
    <row r="59" spans="4:12" x14ac:dyDescent="0.3">
      <c r="D59" s="15">
        <f t="shared" ca="1" si="45"/>
        <v>23</v>
      </c>
      <c r="E59" s="16">
        <f t="shared" ca="1" si="45"/>
        <v>23</v>
      </c>
      <c r="F59" s="15">
        <f t="shared" ca="1" si="45"/>
        <v>23</v>
      </c>
      <c r="G59" s="16">
        <f t="shared" ca="1" si="45"/>
        <v>23</v>
      </c>
    </row>
    <row r="60" spans="4:12" ht="15.75" customHeight="1" thickBot="1" x14ac:dyDescent="0.35">
      <c r="D60" s="17">
        <f t="shared" ca="1" si="45"/>
        <v>23</v>
      </c>
      <c r="E60" s="18">
        <f t="shared" ca="1" si="45"/>
        <v>23</v>
      </c>
      <c r="F60" s="17">
        <f t="shared" ca="1" si="45"/>
        <v>23</v>
      </c>
      <c r="G60" s="18">
        <f t="shared" ca="1" si="45"/>
        <v>23</v>
      </c>
    </row>
    <row r="64" spans="4:12" x14ac:dyDescent="0.3">
      <c r="J64" s="21"/>
      <c r="K64" s="21"/>
      <c r="L64" s="21"/>
    </row>
    <row r="65" spans="4:17" ht="15.75" customHeight="1" thickBot="1" x14ac:dyDescent="0.35">
      <c r="D65" s="34" t="s">
        <v>193</v>
      </c>
      <c r="E65" s="35"/>
      <c r="F65" s="35"/>
      <c r="G65" s="35"/>
      <c r="I65" s="34" t="s">
        <v>194</v>
      </c>
      <c r="J65" s="35"/>
      <c r="K65" s="35"/>
      <c r="L65" s="35"/>
    </row>
    <row r="66" spans="4:17" x14ac:dyDescent="0.3">
      <c r="D66" s="31" t="str">
        <f>D51</f>
        <v>onbP+</v>
      </c>
      <c r="E66" s="32"/>
      <c r="F66" s="31" t="str">
        <f>F51</f>
        <v>onbP-</v>
      </c>
      <c r="G66" s="32"/>
      <c r="I66" s="31" t="str">
        <f>D7</f>
        <v>onbP+</v>
      </c>
      <c r="J66" s="32"/>
      <c r="K66" s="31" t="str">
        <f>F7</f>
        <v>onbP-</v>
      </c>
      <c r="L66" s="32"/>
    </row>
    <row r="67" spans="4:17" ht="15.75" customHeight="1" thickBot="1" x14ac:dyDescent="0.35">
      <c r="D67" s="8" t="str">
        <f>D52</f>
        <v>grilW+</v>
      </c>
      <c r="E67" s="9" t="str">
        <f>E52</f>
        <v>grilW-</v>
      </c>
      <c r="F67" s="8" t="s">
        <v>190</v>
      </c>
      <c r="G67" s="9" t="s">
        <v>191</v>
      </c>
      <c r="I67" s="8" t="str">
        <f>D8</f>
        <v>grilW+</v>
      </c>
      <c r="J67" s="9" t="str">
        <f>E8</f>
        <v>grilW-</v>
      </c>
      <c r="K67" s="8" t="str">
        <f>F8</f>
        <v>grilW+</v>
      </c>
      <c r="L67" s="9" t="str">
        <f>G8</f>
        <v>grilW-</v>
      </c>
    </row>
    <row r="68" spans="4:17" x14ac:dyDescent="0.3">
      <c r="D68" s="13">
        <f t="shared" ref="D68:G75" ca="1" si="46">MAX(D9,I9,N9,S9)</f>
        <v>25</v>
      </c>
      <c r="E68" s="14">
        <f t="shared" ca="1" si="46"/>
        <v>25</v>
      </c>
      <c r="F68" s="13">
        <f t="shared" ca="1" si="46"/>
        <v>25</v>
      </c>
      <c r="G68" s="14">
        <f t="shared" ca="1" si="46"/>
        <v>25</v>
      </c>
      <c r="I68" s="13">
        <f t="shared" ref="I68:L75" ca="1" si="47">MIN(D9,I9,N9,S9)</f>
        <v>23</v>
      </c>
      <c r="J68" s="14">
        <f t="shared" ca="1" si="47"/>
        <v>23</v>
      </c>
      <c r="K68" s="13">
        <f t="shared" ca="1" si="47"/>
        <v>23</v>
      </c>
      <c r="L68" s="14">
        <f t="shared" ca="1" si="47"/>
        <v>23</v>
      </c>
      <c r="N68" s="7">
        <f t="shared" ref="N68:Q75" ca="1" si="48">D68-I68</f>
        <v>2</v>
      </c>
      <c r="O68" s="7">
        <f t="shared" ca="1" si="48"/>
        <v>2</v>
      </c>
      <c r="P68" s="7">
        <f t="shared" ca="1" si="48"/>
        <v>2</v>
      </c>
      <c r="Q68" s="7">
        <f t="shared" ca="1" si="48"/>
        <v>2</v>
      </c>
    </row>
    <row r="69" spans="4:17" x14ac:dyDescent="0.3">
      <c r="D69" s="15">
        <f t="shared" ca="1" si="46"/>
        <v>25</v>
      </c>
      <c r="E69" s="16">
        <f t="shared" ca="1" si="46"/>
        <v>25</v>
      </c>
      <c r="F69" s="15">
        <f t="shared" ca="1" si="46"/>
        <v>25</v>
      </c>
      <c r="G69" s="16">
        <f t="shared" ca="1" si="46"/>
        <v>25</v>
      </c>
      <c r="I69" s="15">
        <f t="shared" ca="1" si="47"/>
        <v>23</v>
      </c>
      <c r="J69" s="16">
        <f t="shared" ca="1" si="47"/>
        <v>23</v>
      </c>
      <c r="K69" s="15">
        <f t="shared" ca="1" si="47"/>
        <v>23</v>
      </c>
      <c r="L69" s="16">
        <f t="shared" ca="1" si="47"/>
        <v>23</v>
      </c>
      <c r="N69" s="7">
        <f t="shared" ca="1" si="48"/>
        <v>2</v>
      </c>
      <c r="O69" s="7">
        <f t="shared" ca="1" si="48"/>
        <v>2</v>
      </c>
      <c r="P69" s="7">
        <f t="shared" ca="1" si="48"/>
        <v>2</v>
      </c>
      <c r="Q69" s="7">
        <f t="shared" ca="1" si="48"/>
        <v>2</v>
      </c>
    </row>
    <row r="70" spans="4:17" x14ac:dyDescent="0.3">
      <c r="D70" s="15">
        <f t="shared" ca="1" si="46"/>
        <v>25</v>
      </c>
      <c r="E70" s="16">
        <f t="shared" ca="1" si="46"/>
        <v>25</v>
      </c>
      <c r="F70" s="15">
        <f t="shared" ca="1" si="46"/>
        <v>25</v>
      </c>
      <c r="G70" s="16">
        <f t="shared" ca="1" si="46"/>
        <v>25</v>
      </c>
      <c r="I70" s="15">
        <f t="shared" ca="1" si="47"/>
        <v>23</v>
      </c>
      <c r="J70" s="16">
        <f t="shared" ca="1" si="47"/>
        <v>23</v>
      </c>
      <c r="K70" s="15">
        <f t="shared" ca="1" si="47"/>
        <v>23</v>
      </c>
      <c r="L70" s="16">
        <f t="shared" ca="1" si="47"/>
        <v>23</v>
      </c>
      <c r="N70" s="7">
        <f t="shared" ca="1" si="48"/>
        <v>2</v>
      </c>
      <c r="O70" s="7">
        <f t="shared" ca="1" si="48"/>
        <v>2</v>
      </c>
      <c r="P70" s="7">
        <f t="shared" ca="1" si="48"/>
        <v>2</v>
      </c>
      <c r="Q70" s="7">
        <f t="shared" ca="1" si="48"/>
        <v>2</v>
      </c>
    </row>
    <row r="71" spans="4:17" ht="15.75" customHeight="1" thickBot="1" x14ac:dyDescent="0.35">
      <c r="D71" s="17">
        <f t="shared" ca="1" si="46"/>
        <v>25</v>
      </c>
      <c r="E71" s="18">
        <f t="shared" ca="1" si="46"/>
        <v>25</v>
      </c>
      <c r="F71" s="17">
        <f t="shared" ca="1" si="46"/>
        <v>25</v>
      </c>
      <c r="G71" s="18">
        <f t="shared" ca="1" si="46"/>
        <v>25</v>
      </c>
      <c r="I71" s="17">
        <f t="shared" ca="1" si="47"/>
        <v>23</v>
      </c>
      <c r="J71" s="18">
        <f t="shared" ca="1" si="47"/>
        <v>23</v>
      </c>
      <c r="K71" s="17">
        <f t="shared" ca="1" si="47"/>
        <v>23</v>
      </c>
      <c r="L71" s="18">
        <f t="shared" ca="1" si="47"/>
        <v>23</v>
      </c>
      <c r="N71" s="7">
        <f t="shared" ca="1" si="48"/>
        <v>2</v>
      </c>
      <c r="O71" s="7">
        <f t="shared" ca="1" si="48"/>
        <v>2</v>
      </c>
      <c r="P71" s="7">
        <f t="shared" ca="1" si="48"/>
        <v>2</v>
      </c>
      <c r="Q71" s="7">
        <f t="shared" ca="1" si="48"/>
        <v>2</v>
      </c>
    </row>
    <row r="72" spans="4:17" x14ac:dyDescent="0.3">
      <c r="D72" s="13">
        <f t="shared" ca="1" si="46"/>
        <v>25</v>
      </c>
      <c r="E72" s="14">
        <f t="shared" ca="1" si="46"/>
        <v>25</v>
      </c>
      <c r="F72" s="13">
        <f t="shared" ca="1" si="46"/>
        <v>25</v>
      </c>
      <c r="G72" s="14">
        <f t="shared" ca="1" si="46"/>
        <v>25</v>
      </c>
      <c r="I72" s="13">
        <f t="shared" ca="1" si="47"/>
        <v>23</v>
      </c>
      <c r="J72" s="14">
        <f t="shared" ca="1" si="47"/>
        <v>23</v>
      </c>
      <c r="K72" s="13">
        <f t="shared" ca="1" si="47"/>
        <v>23</v>
      </c>
      <c r="L72" s="14">
        <f t="shared" ca="1" si="47"/>
        <v>23</v>
      </c>
      <c r="N72" s="7">
        <f t="shared" ca="1" si="48"/>
        <v>2</v>
      </c>
      <c r="O72" s="7">
        <f t="shared" ca="1" si="48"/>
        <v>2</v>
      </c>
      <c r="P72" s="7">
        <f t="shared" ca="1" si="48"/>
        <v>2</v>
      </c>
      <c r="Q72" s="7">
        <f t="shared" ca="1" si="48"/>
        <v>2</v>
      </c>
    </row>
    <row r="73" spans="4:17" x14ac:dyDescent="0.3">
      <c r="D73" s="15">
        <f t="shared" ca="1" si="46"/>
        <v>25</v>
      </c>
      <c r="E73" s="16">
        <f t="shared" ca="1" si="46"/>
        <v>25</v>
      </c>
      <c r="F73" s="15">
        <f t="shared" ca="1" si="46"/>
        <v>25</v>
      </c>
      <c r="G73" s="16">
        <f t="shared" ca="1" si="46"/>
        <v>25</v>
      </c>
      <c r="I73" s="15">
        <f t="shared" ca="1" si="47"/>
        <v>23</v>
      </c>
      <c r="J73" s="16">
        <f t="shared" ca="1" si="47"/>
        <v>23</v>
      </c>
      <c r="K73" s="15">
        <f t="shared" ca="1" si="47"/>
        <v>23</v>
      </c>
      <c r="L73" s="16">
        <f t="shared" ca="1" si="47"/>
        <v>23</v>
      </c>
      <c r="N73" s="7">
        <f t="shared" ca="1" si="48"/>
        <v>2</v>
      </c>
      <c r="O73" s="7">
        <f t="shared" ca="1" si="48"/>
        <v>2</v>
      </c>
      <c r="P73" s="7">
        <f t="shared" ca="1" si="48"/>
        <v>2</v>
      </c>
      <c r="Q73" s="7">
        <f t="shared" ca="1" si="48"/>
        <v>2</v>
      </c>
    </row>
    <row r="74" spans="4:17" x14ac:dyDescent="0.3">
      <c r="D74" s="15">
        <f t="shared" ca="1" si="46"/>
        <v>25</v>
      </c>
      <c r="E74" s="16">
        <f t="shared" ca="1" si="46"/>
        <v>25</v>
      </c>
      <c r="F74" s="15">
        <f t="shared" ca="1" si="46"/>
        <v>25</v>
      </c>
      <c r="G74" s="16">
        <f t="shared" ca="1" si="46"/>
        <v>25</v>
      </c>
      <c r="I74" s="15">
        <f t="shared" ca="1" si="47"/>
        <v>23</v>
      </c>
      <c r="J74" s="16">
        <f t="shared" ca="1" si="47"/>
        <v>23</v>
      </c>
      <c r="K74" s="15">
        <f t="shared" ca="1" si="47"/>
        <v>23</v>
      </c>
      <c r="L74" s="16">
        <f t="shared" ca="1" si="47"/>
        <v>23</v>
      </c>
      <c r="N74" s="7">
        <f t="shared" ca="1" si="48"/>
        <v>2</v>
      </c>
      <c r="O74" s="7">
        <f t="shared" ca="1" si="48"/>
        <v>2</v>
      </c>
      <c r="P74" s="7">
        <f t="shared" ca="1" si="48"/>
        <v>2</v>
      </c>
      <c r="Q74" s="7">
        <f t="shared" ca="1" si="48"/>
        <v>2</v>
      </c>
    </row>
    <row r="75" spans="4:17" ht="15.75" customHeight="1" thickBot="1" x14ac:dyDescent="0.35">
      <c r="D75" s="17">
        <f t="shared" ca="1" si="46"/>
        <v>25</v>
      </c>
      <c r="E75" s="18">
        <f t="shared" ca="1" si="46"/>
        <v>25</v>
      </c>
      <c r="F75" s="17">
        <f t="shared" ca="1" si="46"/>
        <v>25</v>
      </c>
      <c r="G75" s="18">
        <f t="shared" ca="1" si="46"/>
        <v>25</v>
      </c>
      <c r="I75" s="17">
        <f t="shared" ca="1" si="47"/>
        <v>23</v>
      </c>
      <c r="J75" s="18">
        <f t="shared" ca="1" si="47"/>
        <v>23</v>
      </c>
      <c r="K75" s="17">
        <f t="shared" ca="1" si="47"/>
        <v>23</v>
      </c>
      <c r="L75" s="18">
        <f t="shared" ca="1" si="47"/>
        <v>23</v>
      </c>
      <c r="N75" s="7">
        <f t="shared" ca="1" si="48"/>
        <v>2</v>
      </c>
      <c r="O75" s="7">
        <f t="shared" ca="1" si="48"/>
        <v>2</v>
      </c>
      <c r="P75" s="7">
        <f t="shared" ca="1" si="48"/>
        <v>2</v>
      </c>
      <c r="Q75" s="7">
        <f t="shared" ca="1" si="48"/>
        <v>2</v>
      </c>
    </row>
  </sheetData>
  <mergeCells count="85">
    <mergeCell ref="B15:B16"/>
    <mergeCell ref="A9:A12"/>
    <mergeCell ref="A13:A16"/>
    <mergeCell ref="D7:E7"/>
    <mergeCell ref="F7:G7"/>
    <mergeCell ref="B9:B10"/>
    <mergeCell ref="B11:B12"/>
    <mergeCell ref="B13:B14"/>
    <mergeCell ref="P7:Q7"/>
    <mergeCell ref="S7:T7"/>
    <mergeCell ref="U7:V7"/>
    <mergeCell ref="I7:J7"/>
    <mergeCell ref="K7:L7"/>
    <mergeCell ref="N7:O7"/>
    <mergeCell ref="P37:Q37"/>
    <mergeCell ref="S37:T37"/>
    <mergeCell ref="U37:V37"/>
    <mergeCell ref="D66:E66"/>
    <mergeCell ref="F66:G66"/>
    <mergeCell ref="D65:G65"/>
    <mergeCell ref="D37:E37"/>
    <mergeCell ref="F37:G37"/>
    <mergeCell ref="I37:J37"/>
    <mergeCell ref="K37:L37"/>
    <mergeCell ref="N37:O37"/>
    <mergeCell ref="P22:Q22"/>
    <mergeCell ref="S22:T22"/>
    <mergeCell ref="U22:V22"/>
    <mergeCell ref="A24:A27"/>
    <mergeCell ref="A28:A31"/>
    <mergeCell ref="B30:B31"/>
    <mergeCell ref="D22:E22"/>
    <mergeCell ref="F22:G22"/>
    <mergeCell ref="I22:J22"/>
    <mergeCell ref="K22:L22"/>
    <mergeCell ref="N22:O22"/>
    <mergeCell ref="B24:B25"/>
    <mergeCell ref="B26:B27"/>
    <mergeCell ref="B28:B29"/>
    <mergeCell ref="D50:G50"/>
    <mergeCell ref="I66:J66"/>
    <mergeCell ref="K66:L66"/>
    <mergeCell ref="I65:L65"/>
    <mergeCell ref="A39:A42"/>
    <mergeCell ref="B39:B40"/>
    <mergeCell ref="B41:B42"/>
    <mergeCell ref="A43:A46"/>
    <mergeCell ref="B43:B44"/>
    <mergeCell ref="B45:B46"/>
    <mergeCell ref="D51:E51"/>
    <mergeCell ref="F51:G51"/>
    <mergeCell ref="AO7:AP7"/>
    <mergeCell ref="AR7:AS7"/>
    <mergeCell ref="AT7:AU7"/>
    <mergeCell ref="X7:Y7"/>
    <mergeCell ref="Z7:AA7"/>
    <mergeCell ref="AC7:AD7"/>
    <mergeCell ref="AE7:AF7"/>
    <mergeCell ref="AH7:AI7"/>
    <mergeCell ref="AW7:AX7"/>
    <mergeCell ref="AY7:AZ7"/>
    <mergeCell ref="X22:Y22"/>
    <mergeCell ref="Z22:AA22"/>
    <mergeCell ref="AC22:AD22"/>
    <mergeCell ref="AE22:AF22"/>
    <mergeCell ref="AH22:AI22"/>
    <mergeCell ref="AJ22:AK22"/>
    <mergeCell ref="AM22:AN22"/>
    <mergeCell ref="AO22:AP22"/>
    <mergeCell ref="AR22:AS22"/>
    <mergeCell ref="AT22:AU22"/>
    <mergeCell ref="AW22:AX22"/>
    <mergeCell ref="AY22:AZ22"/>
    <mergeCell ref="AJ7:AK7"/>
    <mergeCell ref="AM7:AN7"/>
    <mergeCell ref="X37:Y37"/>
    <mergeCell ref="Z37:AA37"/>
    <mergeCell ref="AC37:AD37"/>
    <mergeCell ref="AE37:AF37"/>
    <mergeCell ref="AH37:AI37"/>
    <mergeCell ref="AJ37:AK37"/>
    <mergeCell ref="AM37:AN37"/>
    <mergeCell ref="AO37:AP37"/>
    <mergeCell ref="AR37:AS37"/>
    <mergeCell ref="AT37:AU37"/>
  </mergeCells>
  <conditionalFormatting sqref="D9:G10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G12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G1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G16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G16">
    <cfRule type="colorScale" priority="2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9:L10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L12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L14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L16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L16">
    <cfRule type="colorScale" priority="21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9:Q10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Q12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:Q14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Q16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:Q16">
    <cfRule type="colorScale" priority="19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S9:V10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V12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V14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V16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V16">
    <cfRule type="colorScale" priority="19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4:G25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:G27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:G2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0:G3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:G31">
    <cfRule type="colorScale" priority="18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24:L25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L27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8:L2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:L3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L31">
    <cfRule type="colorScale" priority="18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24:Q25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:Q2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8:Q2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0:Q3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:Q31">
    <cfRule type="colorScale" priority="17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S24:V25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V27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V2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V3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V31">
    <cfRule type="colorScale" priority="17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53:G54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5:G56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7:G58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9:G60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3:G60">
    <cfRule type="colorScale" priority="16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4:G31 I24:V31">
    <cfRule type="colorScale" priority="16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39:G40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1:G42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3:G44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5:G46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:G4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9:L40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1:L42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L44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5:L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9:L4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9:Q4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Q42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3:Q4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5:Q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:Q4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9:V40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V42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V44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V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V4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9:G46 I39:V46">
    <cfRule type="colorScale" priority="14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68:G69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0:G71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2:G73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4:G75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8:G75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68:L69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0:L71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2:L73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4:L75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8:L75">
    <cfRule type="colorScale" priority="13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68:Q75">
    <cfRule type="colorScale" priority="1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39:V4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9:AP1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1:AP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3:AP14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5:AP16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9:AP16">
    <cfRule type="colorScale" priority="8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R9:AU10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1:AU1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3:AU14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5:AU16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9:AU16">
    <cfRule type="colorScale" priority="8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W9:AZ1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1:AZ1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3:AZ14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5:AZ1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9:AZ16">
    <cfRule type="colorScale" priority="7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X9:AA1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1:AA1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3:AA1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:AA1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9:AA16">
    <cfRule type="colorScale" priority="7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C9:AF10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1:AF1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3:AF1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:AF16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F16">
    <cfRule type="colorScale" priority="6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H9:AK1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1:AK1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3:AK1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5:AK1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9:AK16">
    <cfRule type="colorScale" priority="6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X24:AA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6:AA2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8:AA2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0:AA3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4:AA31">
    <cfRule type="colorScale" priority="5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C24:AF2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6:AF2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8:AF2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0:AF3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4:AF31">
    <cfRule type="colorScale" priority="5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H24:AK2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6:AK2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8:AK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0:AK3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4:AK31">
    <cfRule type="colorScale" priority="4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X24:AK31">
    <cfRule type="colorScale" priority="4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M24:AP2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6:AP2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8:AP2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0:AP3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4:AP31">
    <cfRule type="colorScale" priority="4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R24:AU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6:AU2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8:AU2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0:AU3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4:AU31">
    <cfRule type="colorScale" priority="3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W24:AZ2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6:AZ2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8:AZ2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0:AZ3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4:AZ31">
    <cfRule type="colorScale" priority="3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M24:AZ31">
    <cfRule type="colorScale" priority="3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X39:AA4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AA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3:AA4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5:AA4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9:AA4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9:AF4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1:AF4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3:AF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5:AF4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9:AF4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9:AK4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41:AK4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43:AK4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45:AK4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9:AK4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9:AA46 AC39:AK46"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X39:AK4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9:AP4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41:AP4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43:AP4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45:AP4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9:AP4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39:AU4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41:AU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43:AU4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45:AU4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9:AU4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9:AU4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rop Down 1">
              <controlPr defaultSize="0" autoLine="0" autoPict="0">
                <anchor moveWithCells="1">
                  <from>
                    <xdr:col>1</xdr:col>
                    <xdr:colOff>228600</xdr:colOff>
                    <xdr:row>3</xdr:row>
                    <xdr:rowOff>137160</xdr:rowOff>
                  </from>
                  <to>
                    <xdr:col>3</xdr:col>
                    <xdr:colOff>388620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Drop Down 2">
              <controlPr defaultSize="0" autoLine="0" autoPict="0">
                <anchor moveWithCells="1">
                  <from>
                    <xdr:col>1</xdr:col>
                    <xdr:colOff>220980</xdr:colOff>
                    <xdr:row>2</xdr:row>
                    <xdr:rowOff>7620</xdr:rowOff>
                  </from>
                  <to>
                    <xdr:col>3</xdr:col>
                    <xdr:colOff>15240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Drop Down 3">
              <controlPr defaultSize="0" autoLine="0" autoPict="0">
                <anchor moveWithCells="1">
                  <from>
                    <xdr:col>2</xdr:col>
                    <xdr:colOff>0</xdr:colOff>
                    <xdr:row>18</xdr:row>
                    <xdr:rowOff>7620</xdr:rowOff>
                  </from>
                  <to>
                    <xdr:col>3</xdr:col>
                    <xdr:colOff>7620</xdr:colOff>
                    <xdr:row>19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HY7"/>
  <sheetViews>
    <sheetView workbookViewId="0"/>
  </sheetViews>
  <sheetFormatPr defaultRowHeight="14.4" x14ac:dyDescent="0.3"/>
  <cols>
    <col min="1" max="1" width="10.33203125" style="25" customWidth="1"/>
    <col min="2" max="2" width="16.88671875" style="25" bestFit="1" customWidth="1"/>
  </cols>
  <sheetData>
    <row r="1" spans="1:1585" x14ac:dyDescent="0.3">
      <c r="B1" t="s">
        <v>8</v>
      </c>
      <c r="M1" t="s">
        <v>11</v>
      </c>
      <c r="X1" t="s">
        <v>14</v>
      </c>
      <c r="AI1" t="s">
        <v>17</v>
      </c>
      <c r="AT1" t="s">
        <v>20</v>
      </c>
      <c r="BE1" t="s">
        <v>23</v>
      </c>
      <c r="BP1" t="s">
        <v>26</v>
      </c>
      <c r="CA1" t="s">
        <v>29</v>
      </c>
      <c r="CL1" t="s">
        <v>31</v>
      </c>
      <c r="CW1" t="s">
        <v>33</v>
      </c>
      <c r="DH1" t="s">
        <v>35</v>
      </c>
      <c r="DS1" t="s">
        <v>37</v>
      </c>
      <c r="ED1" t="s">
        <v>38</v>
      </c>
      <c r="EO1" t="s">
        <v>39</v>
      </c>
      <c r="EZ1" t="s">
        <v>40</v>
      </c>
      <c r="FK1" t="s">
        <v>41</v>
      </c>
      <c r="FV1" t="s">
        <v>42</v>
      </c>
      <c r="GG1" t="s">
        <v>43</v>
      </c>
      <c r="GR1" t="s">
        <v>44</v>
      </c>
      <c r="HC1" t="s">
        <v>45</v>
      </c>
      <c r="HN1" t="s">
        <v>46</v>
      </c>
      <c r="HY1" t="s">
        <v>47</v>
      </c>
      <c r="IJ1" t="s">
        <v>48</v>
      </c>
      <c r="IU1" t="s">
        <v>49</v>
      </c>
      <c r="JF1" t="s">
        <v>50</v>
      </c>
      <c r="JQ1" t="s">
        <v>51</v>
      </c>
      <c r="KB1" t="s">
        <v>52</v>
      </c>
      <c r="KM1" t="s">
        <v>53</v>
      </c>
      <c r="KX1" t="s">
        <v>54</v>
      </c>
      <c r="LI1" t="s">
        <v>55</v>
      </c>
      <c r="LT1" t="s">
        <v>56</v>
      </c>
      <c r="ME1" t="s">
        <v>57</v>
      </c>
      <c r="MP1" t="s">
        <v>58</v>
      </c>
      <c r="NA1" t="s">
        <v>59</v>
      </c>
      <c r="NL1" t="s">
        <v>60</v>
      </c>
      <c r="NW1" t="s">
        <v>61</v>
      </c>
      <c r="OH1" t="s">
        <v>62</v>
      </c>
      <c r="OS1" t="s">
        <v>63</v>
      </c>
      <c r="PD1" t="s">
        <v>64</v>
      </c>
      <c r="PO1" t="s">
        <v>65</v>
      </c>
      <c r="PZ1" t="s">
        <v>66</v>
      </c>
      <c r="QK1" t="s">
        <v>67</v>
      </c>
      <c r="QV1" t="s">
        <v>68</v>
      </c>
      <c r="RG1" t="s">
        <v>69</v>
      </c>
      <c r="RR1" t="s">
        <v>70</v>
      </c>
      <c r="SC1" t="s">
        <v>71</v>
      </c>
      <c r="SN1" t="s">
        <v>72</v>
      </c>
      <c r="SY1" t="s">
        <v>73</v>
      </c>
      <c r="TJ1" t="s">
        <v>74</v>
      </c>
      <c r="TU1" t="s">
        <v>75</v>
      </c>
      <c r="UF1" t="s">
        <v>76</v>
      </c>
      <c r="UQ1" t="s">
        <v>77</v>
      </c>
      <c r="VB1" t="s">
        <v>78</v>
      </c>
      <c r="VM1" t="s">
        <v>79</v>
      </c>
      <c r="VX1" t="s">
        <v>80</v>
      </c>
      <c r="WI1" t="s">
        <v>81</v>
      </c>
      <c r="WT1" t="s">
        <v>82</v>
      </c>
      <c r="XE1" t="s">
        <v>83</v>
      </c>
      <c r="XP1" t="s">
        <v>84</v>
      </c>
      <c r="YA1" t="s">
        <v>85</v>
      </c>
      <c r="YL1" t="s">
        <v>86</v>
      </c>
      <c r="YW1" t="s">
        <v>87</v>
      </c>
      <c r="ZH1" t="s">
        <v>88</v>
      </c>
      <c r="ZS1" t="s">
        <v>89</v>
      </c>
      <c r="AAD1" t="s">
        <v>90</v>
      </c>
      <c r="AAO1" t="s">
        <v>91</v>
      </c>
      <c r="AAZ1" t="s">
        <v>92</v>
      </c>
      <c r="ABK1" t="s">
        <v>93</v>
      </c>
      <c r="ABV1" t="s">
        <v>94</v>
      </c>
      <c r="ACG1" t="s">
        <v>95</v>
      </c>
      <c r="ACR1" t="s">
        <v>96</v>
      </c>
      <c r="ADC1" t="s">
        <v>97</v>
      </c>
      <c r="ADN1" t="s">
        <v>98</v>
      </c>
      <c r="ADY1" t="s">
        <v>99</v>
      </c>
      <c r="AEJ1" t="s">
        <v>100</v>
      </c>
      <c r="AEU1" t="s">
        <v>101</v>
      </c>
      <c r="AFF1" t="s">
        <v>102</v>
      </c>
      <c r="AFQ1" t="s">
        <v>103</v>
      </c>
      <c r="AGB1" t="s">
        <v>104</v>
      </c>
      <c r="AGM1" t="s">
        <v>105</v>
      </c>
      <c r="AGX1" t="s">
        <v>106</v>
      </c>
      <c r="AHI1" t="s">
        <v>107</v>
      </c>
      <c r="AHT1" t="s">
        <v>108</v>
      </c>
      <c r="AIE1" t="s">
        <v>109</v>
      </c>
      <c r="AIP1" t="s">
        <v>110</v>
      </c>
      <c r="AJA1" t="s">
        <v>111</v>
      </c>
      <c r="AJL1" t="s">
        <v>112</v>
      </c>
      <c r="AJW1" t="s">
        <v>113</v>
      </c>
      <c r="AKH1" t="s">
        <v>114</v>
      </c>
      <c r="AKS1" t="s">
        <v>115</v>
      </c>
      <c r="ALD1" t="s">
        <v>116</v>
      </c>
      <c r="ALO1" t="s">
        <v>117</v>
      </c>
      <c r="ALZ1" t="s">
        <v>118</v>
      </c>
      <c r="AMK1" t="s">
        <v>119</v>
      </c>
      <c r="AMV1" t="s">
        <v>120</v>
      </c>
      <c r="ANG1" t="s">
        <v>121</v>
      </c>
      <c r="ANR1" t="s">
        <v>122</v>
      </c>
      <c r="AOC1" t="s">
        <v>123</v>
      </c>
      <c r="AON1" t="s">
        <v>124</v>
      </c>
      <c r="AOY1" t="s">
        <v>125</v>
      </c>
      <c r="APJ1" t="s">
        <v>126</v>
      </c>
      <c r="APU1" t="s">
        <v>127</v>
      </c>
      <c r="AQF1" t="s">
        <v>128</v>
      </c>
      <c r="AQQ1" t="s">
        <v>129</v>
      </c>
      <c r="ARB1" t="s">
        <v>130</v>
      </c>
      <c r="ARM1" t="s">
        <v>131</v>
      </c>
      <c r="ARX1" t="s">
        <v>132</v>
      </c>
      <c r="ASI1" t="s">
        <v>133</v>
      </c>
      <c r="AST1" t="s">
        <v>134</v>
      </c>
      <c r="ATE1" t="s">
        <v>135</v>
      </c>
      <c r="ATP1" t="s">
        <v>136</v>
      </c>
      <c r="AUA1" t="s">
        <v>137</v>
      </c>
      <c r="AUL1" t="s">
        <v>138</v>
      </c>
      <c r="AUW1" t="s">
        <v>139</v>
      </c>
      <c r="AVH1" t="s">
        <v>140</v>
      </c>
      <c r="AVS1" t="s">
        <v>141</v>
      </c>
      <c r="AWD1" t="s">
        <v>142</v>
      </c>
      <c r="AWO1" t="s">
        <v>143</v>
      </c>
      <c r="AWZ1" t="s">
        <v>144</v>
      </c>
      <c r="AXK1" t="s">
        <v>145</v>
      </c>
      <c r="AXV1" t="s">
        <v>146</v>
      </c>
      <c r="AYG1" t="s">
        <v>147</v>
      </c>
      <c r="AYR1" t="s">
        <v>148</v>
      </c>
      <c r="AZC1" t="s">
        <v>149</v>
      </c>
      <c r="AZN1" t="s">
        <v>150</v>
      </c>
      <c r="AZY1" t="s">
        <v>151</v>
      </c>
      <c r="BAJ1" t="s">
        <v>152</v>
      </c>
      <c r="BAU1" t="s">
        <v>153</v>
      </c>
      <c r="BBF1" t="s">
        <v>154</v>
      </c>
      <c r="BBQ1" t="s">
        <v>155</v>
      </c>
      <c r="BCB1" t="s">
        <v>156</v>
      </c>
      <c r="BCM1" t="s">
        <v>157</v>
      </c>
      <c r="BCX1" t="s">
        <v>158</v>
      </c>
      <c r="BDI1" t="s">
        <v>159</v>
      </c>
      <c r="BDT1" t="s">
        <v>160</v>
      </c>
      <c r="BEE1" t="s">
        <v>161</v>
      </c>
      <c r="BEP1" t="s">
        <v>162</v>
      </c>
      <c r="BFA1" t="s">
        <v>163</v>
      </c>
      <c r="BFL1" t="s">
        <v>164</v>
      </c>
      <c r="BFW1" t="s">
        <v>165</v>
      </c>
      <c r="BGH1" t="s">
        <v>166</v>
      </c>
      <c r="BGS1" t="s">
        <v>167</v>
      </c>
      <c r="BHD1" t="s">
        <v>168</v>
      </c>
      <c r="BHO1" t="s">
        <v>169</v>
      </c>
    </row>
    <row r="2" spans="1:1585" x14ac:dyDescent="0.3">
      <c r="A2" s="21"/>
      <c r="B2" t="s">
        <v>9</v>
      </c>
      <c r="C2" t="s">
        <v>12</v>
      </c>
      <c r="D2" t="s">
        <v>15</v>
      </c>
      <c r="E2" t="s">
        <v>18</v>
      </c>
      <c r="F2" t="s">
        <v>21</v>
      </c>
      <c r="G2" t="s">
        <v>24</v>
      </c>
      <c r="H2" t="s">
        <v>27</v>
      </c>
      <c r="I2" t="s">
        <v>30</v>
      </c>
      <c r="J2" t="s">
        <v>32</v>
      </c>
      <c r="K2" t="s">
        <v>34</v>
      </c>
      <c r="L2" t="s">
        <v>36</v>
      </c>
      <c r="M2" t="s">
        <v>9</v>
      </c>
      <c r="N2" t="s">
        <v>12</v>
      </c>
      <c r="O2" t="s">
        <v>15</v>
      </c>
      <c r="P2" t="s">
        <v>18</v>
      </c>
      <c r="Q2" t="s">
        <v>21</v>
      </c>
      <c r="R2" t="s">
        <v>24</v>
      </c>
      <c r="S2" t="s">
        <v>27</v>
      </c>
      <c r="T2" t="s">
        <v>30</v>
      </c>
      <c r="U2" t="s">
        <v>32</v>
      </c>
      <c r="V2" t="s">
        <v>34</v>
      </c>
      <c r="W2" t="s">
        <v>36</v>
      </c>
      <c r="X2" t="s">
        <v>9</v>
      </c>
      <c r="Y2" t="s">
        <v>12</v>
      </c>
      <c r="Z2" t="s">
        <v>15</v>
      </c>
      <c r="AA2" t="s">
        <v>18</v>
      </c>
      <c r="AB2" t="s">
        <v>21</v>
      </c>
      <c r="AC2" t="s">
        <v>24</v>
      </c>
      <c r="AD2" t="s">
        <v>27</v>
      </c>
      <c r="AE2" t="s">
        <v>30</v>
      </c>
      <c r="AF2" t="s">
        <v>32</v>
      </c>
      <c r="AG2" t="s">
        <v>34</v>
      </c>
      <c r="AH2" t="s">
        <v>36</v>
      </c>
      <c r="AI2" t="s">
        <v>9</v>
      </c>
      <c r="AJ2" t="s">
        <v>12</v>
      </c>
      <c r="AK2" t="s">
        <v>15</v>
      </c>
      <c r="AL2" t="s">
        <v>18</v>
      </c>
      <c r="AM2" t="s">
        <v>21</v>
      </c>
      <c r="AN2" t="s">
        <v>24</v>
      </c>
      <c r="AO2" t="s">
        <v>27</v>
      </c>
      <c r="AP2" t="s">
        <v>30</v>
      </c>
      <c r="AQ2" t="s">
        <v>32</v>
      </c>
      <c r="AR2" t="s">
        <v>34</v>
      </c>
      <c r="AS2" t="s">
        <v>36</v>
      </c>
      <c r="AT2" t="s">
        <v>9</v>
      </c>
      <c r="AU2" t="s">
        <v>12</v>
      </c>
      <c r="AV2" t="s">
        <v>15</v>
      </c>
      <c r="AW2" t="s">
        <v>18</v>
      </c>
      <c r="AX2" t="s">
        <v>21</v>
      </c>
      <c r="AY2" t="s">
        <v>24</v>
      </c>
      <c r="AZ2" t="s">
        <v>27</v>
      </c>
      <c r="BA2" t="s">
        <v>30</v>
      </c>
      <c r="BB2" t="s">
        <v>32</v>
      </c>
      <c r="BC2" t="s">
        <v>34</v>
      </c>
      <c r="BD2" t="s">
        <v>36</v>
      </c>
      <c r="BE2" t="s">
        <v>9</v>
      </c>
      <c r="BF2" t="s">
        <v>12</v>
      </c>
      <c r="BG2" t="s">
        <v>15</v>
      </c>
      <c r="BH2" t="s">
        <v>18</v>
      </c>
      <c r="BI2" t="s">
        <v>21</v>
      </c>
      <c r="BJ2" t="s">
        <v>24</v>
      </c>
      <c r="BK2" t="s">
        <v>27</v>
      </c>
      <c r="BL2" t="s">
        <v>30</v>
      </c>
      <c r="BM2" t="s">
        <v>32</v>
      </c>
      <c r="BN2" t="s">
        <v>34</v>
      </c>
      <c r="BO2" t="s">
        <v>36</v>
      </c>
      <c r="BP2" t="s">
        <v>9</v>
      </c>
      <c r="BQ2" t="s">
        <v>12</v>
      </c>
      <c r="BR2" t="s">
        <v>15</v>
      </c>
      <c r="BS2" t="s">
        <v>18</v>
      </c>
      <c r="BT2" t="s">
        <v>21</v>
      </c>
      <c r="BU2" t="s">
        <v>24</v>
      </c>
      <c r="BV2" t="s">
        <v>27</v>
      </c>
      <c r="BW2" t="s">
        <v>30</v>
      </c>
      <c r="BX2" t="s">
        <v>32</v>
      </c>
      <c r="BY2" t="s">
        <v>34</v>
      </c>
      <c r="BZ2" t="s">
        <v>36</v>
      </c>
      <c r="CA2" t="s">
        <v>9</v>
      </c>
      <c r="CB2" t="s">
        <v>12</v>
      </c>
      <c r="CC2" t="s">
        <v>15</v>
      </c>
      <c r="CD2" t="s">
        <v>18</v>
      </c>
      <c r="CE2" t="s">
        <v>21</v>
      </c>
      <c r="CF2" t="s">
        <v>24</v>
      </c>
      <c r="CG2" t="s">
        <v>27</v>
      </c>
      <c r="CH2" t="s">
        <v>30</v>
      </c>
      <c r="CI2" t="s">
        <v>32</v>
      </c>
      <c r="CJ2" t="s">
        <v>34</v>
      </c>
      <c r="CK2" t="s">
        <v>36</v>
      </c>
      <c r="CL2" t="s">
        <v>9</v>
      </c>
      <c r="CM2" t="s">
        <v>12</v>
      </c>
      <c r="CN2" t="s">
        <v>15</v>
      </c>
      <c r="CO2" t="s">
        <v>18</v>
      </c>
      <c r="CP2" t="s">
        <v>21</v>
      </c>
      <c r="CQ2" t="s">
        <v>24</v>
      </c>
      <c r="CR2" t="s">
        <v>27</v>
      </c>
      <c r="CS2" t="s">
        <v>30</v>
      </c>
      <c r="CT2" t="s">
        <v>32</v>
      </c>
      <c r="CU2" t="s">
        <v>34</v>
      </c>
      <c r="CV2" t="s">
        <v>36</v>
      </c>
      <c r="CW2" t="s">
        <v>9</v>
      </c>
      <c r="CX2" t="s">
        <v>12</v>
      </c>
      <c r="CY2" t="s">
        <v>15</v>
      </c>
      <c r="CZ2" t="s">
        <v>18</v>
      </c>
      <c r="DA2" t="s">
        <v>21</v>
      </c>
      <c r="DB2" t="s">
        <v>24</v>
      </c>
      <c r="DC2" t="s">
        <v>27</v>
      </c>
      <c r="DD2" t="s">
        <v>30</v>
      </c>
      <c r="DE2" t="s">
        <v>32</v>
      </c>
      <c r="DF2" t="s">
        <v>34</v>
      </c>
      <c r="DG2" t="s">
        <v>36</v>
      </c>
      <c r="DH2" t="s">
        <v>9</v>
      </c>
      <c r="DI2" t="s">
        <v>12</v>
      </c>
      <c r="DJ2" t="s">
        <v>15</v>
      </c>
      <c r="DK2" t="s">
        <v>18</v>
      </c>
      <c r="DL2" t="s">
        <v>21</v>
      </c>
      <c r="DM2" t="s">
        <v>24</v>
      </c>
      <c r="DN2" t="s">
        <v>27</v>
      </c>
      <c r="DO2" t="s">
        <v>30</v>
      </c>
      <c r="DP2" t="s">
        <v>32</v>
      </c>
      <c r="DQ2" t="s">
        <v>34</v>
      </c>
      <c r="DR2" t="s">
        <v>36</v>
      </c>
      <c r="DS2" t="s">
        <v>9</v>
      </c>
      <c r="DT2" t="s">
        <v>12</v>
      </c>
      <c r="DU2" t="s">
        <v>15</v>
      </c>
      <c r="DV2" t="s">
        <v>18</v>
      </c>
      <c r="DW2" t="s">
        <v>21</v>
      </c>
      <c r="DX2" t="s">
        <v>24</v>
      </c>
      <c r="DY2" t="s">
        <v>27</v>
      </c>
      <c r="DZ2" t="s">
        <v>30</v>
      </c>
      <c r="EA2" t="s">
        <v>32</v>
      </c>
      <c r="EB2" t="s">
        <v>34</v>
      </c>
      <c r="EC2" t="s">
        <v>36</v>
      </c>
      <c r="ED2" t="s">
        <v>9</v>
      </c>
      <c r="EE2" t="s">
        <v>12</v>
      </c>
      <c r="EF2" t="s">
        <v>15</v>
      </c>
      <c r="EG2" t="s">
        <v>18</v>
      </c>
      <c r="EH2" t="s">
        <v>21</v>
      </c>
      <c r="EI2" t="s">
        <v>24</v>
      </c>
      <c r="EJ2" t="s">
        <v>27</v>
      </c>
      <c r="EK2" t="s">
        <v>30</v>
      </c>
      <c r="EL2" t="s">
        <v>32</v>
      </c>
      <c r="EM2" t="s">
        <v>34</v>
      </c>
      <c r="EN2" t="s">
        <v>36</v>
      </c>
      <c r="EO2" t="s">
        <v>9</v>
      </c>
      <c r="EP2" t="s">
        <v>12</v>
      </c>
      <c r="EQ2" t="s">
        <v>15</v>
      </c>
      <c r="ER2" t="s">
        <v>18</v>
      </c>
      <c r="ES2" t="s">
        <v>21</v>
      </c>
      <c r="ET2" t="s">
        <v>24</v>
      </c>
      <c r="EU2" t="s">
        <v>27</v>
      </c>
      <c r="EV2" t="s">
        <v>30</v>
      </c>
      <c r="EW2" t="s">
        <v>32</v>
      </c>
      <c r="EX2" t="s">
        <v>34</v>
      </c>
      <c r="EY2" t="s">
        <v>36</v>
      </c>
      <c r="EZ2" t="s">
        <v>9</v>
      </c>
      <c r="FA2" t="s">
        <v>12</v>
      </c>
      <c r="FB2" t="s">
        <v>15</v>
      </c>
      <c r="FC2" t="s">
        <v>18</v>
      </c>
      <c r="FD2" t="s">
        <v>21</v>
      </c>
      <c r="FE2" t="s">
        <v>24</v>
      </c>
      <c r="FF2" t="s">
        <v>27</v>
      </c>
      <c r="FG2" t="s">
        <v>30</v>
      </c>
      <c r="FH2" t="s">
        <v>32</v>
      </c>
      <c r="FI2" t="s">
        <v>34</v>
      </c>
      <c r="FJ2" t="s">
        <v>36</v>
      </c>
      <c r="FK2" t="s">
        <v>9</v>
      </c>
      <c r="FL2" t="s">
        <v>12</v>
      </c>
      <c r="FM2" t="s">
        <v>15</v>
      </c>
      <c r="FN2" t="s">
        <v>18</v>
      </c>
      <c r="FO2" t="s">
        <v>21</v>
      </c>
      <c r="FP2" t="s">
        <v>24</v>
      </c>
      <c r="FQ2" t="s">
        <v>27</v>
      </c>
      <c r="FR2" t="s">
        <v>30</v>
      </c>
      <c r="FS2" t="s">
        <v>32</v>
      </c>
      <c r="FT2" t="s">
        <v>34</v>
      </c>
      <c r="FU2" t="s">
        <v>36</v>
      </c>
      <c r="FV2" t="s">
        <v>9</v>
      </c>
      <c r="FW2" t="s">
        <v>12</v>
      </c>
      <c r="FX2" t="s">
        <v>15</v>
      </c>
      <c r="FY2" t="s">
        <v>18</v>
      </c>
      <c r="FZ2" t="s">
        <v>21</v>
      </c>
      <c r="GA2" t="s">
        <v>24</v>
      </c>
      <c r="GB2" t="s">
        <v>27</v>
      </c>
      <c r="GC2" t="s">
        <v>30</v>
      </c>
      <c r="GD2" t="s">
        <v>32</v>
      </c>
      <c r="GE2" t="s">
        <v>34</v>
      </c>
      <c r="GF2" t="s">
        <v>36</v>
      </c>
      <c r="GG2" t="s">
        <v>9</v>
      </c>
      <c r="GH2" t="s">
        <v>12</v>
      </c>
      <c r="GI2" t="s">
        <v>15</v>
      </c>
      <c r="GJ2" t="s">
        <v>18</v>
      </c>
      <c r="GK2" t="s">
        <v>21</v>
      </c>
      <c r="GL2" t="s">
        <v>24</v>
      </c>
      <c r="GM2" t="s">
        <v>27</v>
      </c>
      <c r="GN2" t="s">
        <v>30</v>
      </c>
      <c r="GO2" t="s">
        <v>32</v>
      </c>
      <c r="GP2" t="s">
        <v>34</v>
      </c>
      <c r="GQ2" t="s">
        <v>36</v>
      </c>
      <c r="GR2" t="s">
        <v>9</v>
      </c>
      <c r="GS2" t="s">
        <v>12</v>
      </c>
      <c r="GT2" t="s">
        <v>15</v>
      </c>
      <c r="GU2" t="s">
        <v>18</v>
      </c>
      <c r="GV2" t="s">
        <v>21</v>
      </c>
      <c r="GW2" t="s">
        <v>24</v>
      </c>
      <c r="GX2" t="s">
        <v>27</v>
      </c>
      <c r="GY2" t="s">
        <v>30</v>
      </c>
      <c r="GZ2" t="s">
        <v>32</v>
      </c>
      <c r="HA2" t="s">
        <v>34</v>
      </c>
      <c r="HB2" t="s">
        <v>36</v>
      </c>
      <c r="HC2" t="s">
        <v>9</v>
      </c>
      <c r="HD2" t="s">
        <v>12</v>
      </c>
      <c r="HE2" t="s">
        <v>15</v>
      </c>
      <c r="HF2" t="s">
        <v>18</v>
      </c>
      <c r="HG2" t="s">
        <v>21</v>
      </c>
      <c r="HH2" t="s">
        <v>24</v>
      </c>
      <c r="HI2" t="s">
        <v>27</v>
      </c>
      <c r="HJ2" t="s">
        <v>30</v>
      </c>
      <c r="HK2" t="s">
        <v>32</v>
      </c>
      <c r="HL2" t="s">
        <v>34</v>
      </c>
      <c r="HM2" t="s">
        <v>36</v>
      </c>
      <c r="HN2" t="s">
        <v>9</v>
      </c>
      <c r="HO2" t="s">
        <v>12</v>
      </c>
      <c r="HP2" t="s">
        <v>15</v>
      </c>
      <c r="HQ2" t="s">
        <v>18</v>
      </c>
      <c r="HR2" t="s">
        <v>21</v>
      </c>
      <c r="HS2" t="s">
        <v>24</v>
      </c>
      <c r="HT2" t="s">
        <v>27</v>
      </c>
      <c r="HU2" t="s">
        <v>30</v>
      </c>
      <c r="HV2" t="s">
        <v>32</v>
      </c>
      <c r="HW2" t="s">
        <v>34</v>
      </c>
      <c r="HX2" t="s">
        <v>36</v>
      </c>
      <c r="HY2" t="s">
        <v>9</v>
      </c>
      <c r="HZ2" t="s">
        <v>12</v>
      </c>
      <c r="IA2" t="s">
        <v>15</v>
      </c>
      <c r="IB2" t="s">
        <v>18</v>
      </c>
      <c r="IC2" t="s">
        <v>21</v>
      </c>
      <c r="ID2" t="s">
        <v>24</v>
      </c>
      <c r="IE2" t="s">
        <v>27</v>
      </c>
      <c r="IF2" t="s">
        <v>30</v>
      </c>
      <c r="IG2" t="s">
        <v>32</v>
      </c>
      <c r="IH2" t="s">
        <v>34</v>
      </c>
      <c r="II2" t="s">
        <v>36</v>
      </c>
      <c r="IJ2" t="s">
        <v>9</v>
      </c>
      <c r="IK2" t="s">
        <v>12</v>
      </c>
      <c r="IL2" t="s">
        <v>15</v>
      </c>
      <c r="IM2" t="s">
        <v>18</v>
      </c>
      <c r="IN2" t="s">
        <v>21</v>
      </c>
      <c r="IO2" t="s">
        <v>24</v>
      </c>
      <c r="IP2" t="s">
        <v>27</v>
      </c>
      <c r="IQ2" t="s">
        <v>30</v>
      </c>
      <c r="IR2" t="s">
        <v>32</v>
      </c>
      <c r="IS2" t="s">
        <v>34</v>
      </c>
      <c r="IT2" t="s">
        <v>36</v>
      </c>
      <c r="IU2" t="s">
        <v>9</v>
      </c>
      <c r="IV2" t="s">
        <v>12</v>
      </c>
      <c r="IW2" t="s">
        <v>15</v>
      </c>
      <c r="IX2" t="s">
        <v>18</v>
      </c>
      <c r="IY2" t="s">
        <v>21</v>
      </c>
      <c r="IZ2" t="s">
        <v>24</v>
      </c>
      <c r="JA2" t="s">
        <v>27</v>
      </c>
      <c r="JB2" t="s">
        <v>30</v>
      </c>
      <c r="JC2" t="s">
        <v>32</v>
      </c>
      <c r="JD2" t="s">
        <v>34</v>
      </c>
      <c r="JE2" t="s">
        <v>36</v>
      </c>
      <c r="JF2" t="s">
        <v>9</v>
      </c>
      <c r="JG2" t="s">
        <v>12</v>
      </c>
      <c r="JH2" t="s">
        <v>15</v>
      </c>
      <c r="JI2" t="s">
        <v>18</v>
      </c>
      <c r="JJ2" t="s">
        <v>21</v>
      </c>
      <c r="JK2" t="s">
        <v>24</v>
      </c>
      <c r="JL2" t="s">
        <v>27</v>
      </c>
      <c r="JM2" t="s">
        <v>30</v>
      </c>
      <c r="JN2" t="s">
        <v>32</v>
      </c>
      <c r="JO2" t="s">
        <v>34</v>
      </c>
      <c r="JP2" t="s">
        <v>36</v>
      </c>
      <c r="JQ2" t="s">
        <v>9</v>
      </c>
      <c r="JR2" t="s">
        <v>12</v>
      </c>
      <c r="JS2" t="s">
        <v>15</v>
      </c>
      <c r="JT2" t="s">
        <v>18</v>
      </c>
      <c r="JU2" t="s">
        <v>21</v>
      </c>
      <c r="JV2" t="s">
        <v>24</v>
      </c>
      <c r="JW2" t="s">
        <v>27</v>
      </c>
      <c r="JX2" t="s">
        <v>30</v>
      </c>
      <c r="JY2" t="s">
        <v>32</v>
      </c>
      <c r="JZ2" t="s">
        <v>34</v>
      </c>
      <c r="KA2" t="s">
        <v>36</v>
      </c>
      <c r="KB2" t="s">
        <v>9</v>
      </c>
      <c r="KC2" t="s">
        <v>12</v>
      </c>
      <c r="KD2" t="s">
        <v>15</v>
      </c>
      <c r="KE2" t="s">
        <v>18</v>
      </c>
      <c r="KF2" t="s">
        <v>21</v>
      </c>
      <c r="KG2" t="s">
        <v>24</v>
      </c>
      <c r="KH2" t="s">
        <v>27</v>
      </c>
      <c r="KI2" t="s">
        <v>30</v>
      </c>
      <c r="KJ2" t="s">
        <v>32</v>
      </c>
      <c r="KK2" t="s">
        <v>34</v>
      </c>
      <c r="KL2" t="s">
        <v>36</v>
      </c>
      <c r="KM2" t="s">
        <v>9</v>
      </c>
      <c r="KN2" t="s">
        <v>12</v>
      </c>
      <c r="KO2" t="s">
        <v>15</v>
      </c>
      <c r="KP2" t="s">
        <v>18</v>
      </c>
      <c r="KQ2" t="s">
        <v>21</v>
      </c>
      <c r="KR2" t="s">
        <v>24</v>
      </c>
      <c r="KS2" t="s">
        <v>27</v>
      </c>
      <c r="KT2" t="s">
        <v>30</v>
      </c>
      <c r="KU2" t="s">
        <v>32</v>
      </c>
      <c r="KV2" t="s">
        <v>34</v>
      </c>
      <c r="KW2" t="s">
        <v>36</v>
      </c>
      <c r="KX2" t="s">
        <v>9</v>
      </c>
      <c r="KY2" t="s">
        <v>12</v>
      </c>
      <c r="KZ2" t="s">
        <v>15</v>
      </c>
      <c r="LA2" t="s">
        <v>18</v>
      </c>
      <c r="LB2" t="s">
        <v>21</v>
      </c>
      <c r="LC2" t="s">
        <v>24</v>
      </c>
      <c r="LD2" t="s">
        <v>27</v>
      </c>
      <c r="LE2" t="s">
        <v>30</v>
      </c>
      <c r="LF2" t="s">
        <v>32</v>
      </c>
      <c r="LG2" t="s">
        <v>34</v>
      </c>
      <c r="LH2" t="s">
        <v>36</v>
      </c>
      <c r="LI2" t="s">
        <v>9</v>
      </c>
      <c r="LJ2" t="s">
        <v>12</v>
      </c>
      <c r="LK2" t="s">
        <v>15</v>
      </c>
      <c r="LL2" t="s">
        <v>18</v>
      </c>
      <c r="LM2" t="s">
        <v>21</v>
      </c>
      <c r="LN2" t="s">
        <v>24</v>
      </c>
      <c r="LO2" t="s">
        <v>27</v>
      </c>
      <c r="LP2" t="s">
        <v>30</v>
      </c>
      <c r="LQ2" t="s">
        <v>32</v>
      </c>
      <c r="LR2" t="s">
        <v>34</v>
      </c>
      <c r="LS2" t="s">
        <v>36</v>
      </c>
      <c r="LT2" t="s">
        <v>9</v>
      </c>
      <c r="LU2" t="s">
        <v>12</v>
      </c>
      <c r="LV2" t="s">
        <v>15</v>
      </c>
      <c r="LW2" t="s">
        <v>18</v>
      </c>
      <c r="LX2" t="s">
        <v>21</v>
      </c>
      <c r="LY2" t="s">
        <v>24</v>
      </c>
      <c r="LZ2" t="s">
        <v>27</v>
      </c>
      <c r="MA2" t="s">
        <v>30</v>
      </c>
      <c r="MB2" t="s">
        <v>32</v>
      </c>
      <c r="MC2" t="s">
        <v>34</v>
      </c>
      <c r="MD2" t="s">
        <v>36</v>
      </c>
      <c r="ME2" t="s">
        <v>9</v>
      </c>
      <c r="MF2" t="s">
        <v>12</v>
      </c>
      <c r="MG2" t="s">
        <v>15</v>
      </c>
      <c r="MH2" t="s">
        <v>18</v>
      </c>
      <c r="MI2" t="s">
        <v>21</v>
      </c>
      <c r="MJ2" t="s">
        <v>24</v>
      </c>
      <c r="MK2" t="s">
        <v>27</v>
      </c>
      <c r="ML2" t="s">
        <v>30</v>
      </c>
      <c r="MM2" t="s">
        <v>32</v>
      </c>
      <c r="MN2" t="s">
        <v>34</v>
      </c>
      <c r="MO2" t="s">
        <v>36</v>
      </c>
      <c r="MP2" t="s">
        <v>9</v>
      </c>
      <c r="MQ2" t="s">
        <v>12</v>
      </c>
      <c r="MR2" t="s">
        <v>15</v>
      </c>
      <c r="MS2" t="s">
        <v>18</v>
      </c>
      <c r="MT2" t="s">
        <v>21</v>
      </c>
      <c r="MU2" t="s">
        <v>24</v>
      </c>
      <c r="MV2" t="s">
        <v>27</v>
      </c>
      <c r="MW2" t="s">
        <v>30</v>
      </c>
      <c r="MX2" t="s">
        <v>32</v>
      </c>
      <c r="MY2" t="s">
        <v>34</v>
      </c>
      <c r="MZ2" t="s">
        <v>36</v>
      </c>
      <c r="NA2" t="s">
        <v>9</v>
      </c>
      <c r="NB2" t="s">
        <v>12</v>
      </c>
      <c r="NC2" t="s">
        <v>15</v>
      </c>
      <c r="ND2" t="s">
        <v>18</v>
      </c>
      <c r="NE2" t="s">
        <v>21</v>
      </c>
      <c r="NF2" t="s">
        <v>24</v>
      </c>
      <c r="NG2" t="s">
        <v>27</v>
      </c>
      <c r="NH2" t="s">
        <v>30</v>
      </c>
      <c r="NI2" t="s">
        <v>32</v>
      </c>
      <c r="NJ2" t="s">
        <v>34</v>
      </c>
      <c r="NK2" t="s">
        <v>36</v>
      </c>
      <c r="NL2" t="s">
        <v>9</v>
      </c>
      <c r="NM2" t="s">
        <v>12</v>
      </c>
      <c r="NN2" t="s">
        <v>15</v>
      </c>
      <c r="NO2" t="s">
        <v>18</v>
      </c>
      <c r="NP2" t="s">
        <v>21</v>
      </c>
      <c r="NQ2" t="s">
        <v>24</v>
      </c>
      <c r="NR2" t="s">
        <v>27</v>
      </c>
      <c r="NS2" t="s">
        <v>30</v>
      </c>
      <c r="NT2" t="s">
        <v>32</v>
      </c>
      <c r="NU2" t="s">
        <v>34</v>
      </c>
      <c r="NV2" t="s">
        <v>36</v>
      </c>
      <c r="NW2" t="s">
        <v>9</v>
      </c>
      <c r="NX2" t="s">
        <v>12</v>
      </c>
      <c r="NY2" t="s">
        <v>15</v>
      </c>
      <c r="NZ2" t="s">
        <v>18</v>
      </c>
      <c r="OA2" t="s">
        <v>21</v>
      </c>
      <c r="OB2" t="s">
        <v>24</v>
      </c>
      <c r="OC2" t="s">
        <v>27</v>
      </c>
      <c r="OD2" t="s">
        <v>30</v>
      </c>
      <c r="OE2" t="s">
        <v>32</v>
      </c>
      <c r="OF2" t="s">
        <v>34</v>
      </c>
      <c r="OG2" t="s">
        <v>36</v>
      </c>
      <c r="OH2" t="s">
        <v>9</v>
      </c>
      <c r="OI2" t="s">
        <v>12</v>
      </c>
      <c r="OJ2" t="s">
        <v>15</v>
      </c>
      <c r="OK2" t="s">
        <v>18</v>
      </c>
      <c r="OL2" t="s">
        <v>21</v>
      </c>
      <c r="OM2" t="s">
        <v>24</v>
      </c>
      <c r="ON2" t="s">
        <v>27</v>
      </c>
      <c r="OO2" t="s">
        <v>30</v>
      </c>
      <c r="OP2" t="s">
        <v>32</v>
      </c>
      <c r="OQ2" t="s">
        <v>34</v>
      </c>
      <c r="OR2" t="s">
        <v>36</v>
      </c>
      <c r="OS2" t="s">
        <v>9</v>
      </c>
      <c r="OT2" t="s">
        <v>12</v>
      </c>
      <c r="OU2" t="s">
        <v>15</v>
      </c>
      <c r="OV2" t="s">
        <v>18</v>
      </c>
      <c r="OW2" t="s">
        <v>21</v>
      </c>
      <c r="OX2" t="s">
        <v>24</v>
      </c>
      <c r="OY2" t="s">
        <v>27</v>
      </c>
      <c r="OZ2" t="s">
        <v>30</v>
      </c>
      <c r="PA2" t="s">
        <v>32</v>
      </c>
      <c r="PB2" t="s">
        <v>34</v>
      </c>
      <c r="PC2" t="s">
        <v>36</v>
      </c>
      <c r="PD2" t="s">
        <v>9</v>
      </c>
      <c r="PE2" t="s">
        <v>12</v>
      </c>
      <c r="PF2" t="s">
        <v>15</v>
      </c>
      <c r="PG2" t="s">
        <v>18</v>
      </c>
      <c r="PH2" t="s">
        <v>21</v>
      </c>
      <c r="PI2" t="s">
        <v>24</v>
      </c>
      <c r="PJ2" t="s">
        <v>27</v>
      </c>
      <c r="PK2" t="s">
        <v>30</v>
      </c>
      <c r="PL2" t="s">
        <v>32</v>
      </c>
      <c r="PM2" t="s">
        <v>34</v>
      </c>
      <c r="PN2" t="s">
        <v>36</v>
      </c>
      <c r="PO2" t="s">
        <v>9</v>
      </c>
      <c r="PP2" t="s">
        <v>12</v>
      </c>
      <c r="PQ2" t="s">
        <v>15</v>
      </c>
      <c r="PR2" t="s">
        <v>18</v>
      </c>
      <c r="PS2" t="s">
        <v>21</v>
      </c>
      <c r="PT2" t="s">
        <v>24</v>
      </c>
      <c r="PU2" t="s">
        <v>27</v>
      </c>
      <c r="PV2" t="s">
        <v>30</v>
      </c>
      <c r="PW2" t="s">
        <v>32</v>
      </c>
      <c r="PX2" t="s">
        <v>34</v>
      </c>
      <c r="PY2" t="s">
        <v>36</v>
      </c>
      <c r="PZ2" t="s">
        <v>9</v>
      </c>
      <c r="QA2" t="s">
        <v>12</v>
      </c>
      <c r="QB2" t="s">
        <v>15</v>
      </c>
      <c r="QC2" t="s">
        <v>18</v>
      </c>
      <c r="QD2" t="s">
        <v>21</v>
      </c>
      <c r="QE2" t="s">
        <v>24</v>
      </c>
      <c r="QF2" t="s">
        <v>27</v>
      </c>
      <c r="QG2" t="s">
        <v>30</v>
      </c>
      <c r="QH2" t="s">
        <v>32</v>
      </c>
      <c r="QI2" t="s">
        <v>34</v>
      </c>
      <c r="QJ2" t="s">
        <v>36</v>
      </c>
      <c r="QK2" t="s">
        <v>9</v>
      </c>
      <c r="QL2" t="s">
        <v>12</v>
      </c>
      <c r="QM2" t="s">
        <v>15</v>
      </c>
      <c r="QN2" t="s">
        <v>18</v>
      </c>
      <c r="QO2" t="s">
        <v>21</v>
      </c>
      <c r="QP2" t="s">
        <v>24</v>
      </c>
      <c r="QQ2" t="s">
        <v>27</v>
      </c>
      <c r="QR2" t="s">
        <v>30</v>
      </c>
      <c r="QS2" t="s">
        <v>32</v>
      </c>
      <c r="QT2" t="s">
        <v>34</v>
      </c>
      <c r="QU2" t="s">
        <v>36</v>
      </c>
      <c r="QV2" t="s">
        <v>9</v>
      </c>
      <c r="QW2" t="s">
        <v>12</v>
      </c>
      <c r="QX2" t="s">
        <v>15</v>
      </c>
      <c r="QY2" t="s">
        <v>18</v>
      </c>
      <c r="QZ2" t="s">
        <v>21</v>
      </c>
      <c r="RA2" t="s">
        <v>24</v>
      </c>
      <c r="RB2" t="s">
        <v>27</v>
      </c>
      <c r="RC2" t="s">
        <v>30</v>
      </c>
      <c r="RD2" t="s">
        <v>32</v>
      </c>
      <c r="RE2" t="s">
        <v>34</v>
      </c>
      <c r="RF2" t="s">
        <v>36</v>
      </c>
      <c r="RG2" t="s">
        <v>9</v>
      </c>
      <c r="RH2" t="s">
        <v>12</v>
      </c>
      <c r="RI2" t="s">
        <v>15</v>
      </c>
      <c r="RJ2" t="s">
        <v>18</v>
      </c>
      <c r="RK2" t="s">
        <v>21</v>
      </c>
      <c r="RL2" t="s">
        <v>24</v>
      </c>
      <c r="RM2" t="s">
        <v>27</v>
      </c>
      <c r="RN2" t="s">
        <v>30</v>
      </c>
      <c r="RO2" t="s">
        <v>32</v>
      </c>
      <c r="RP2" t="s">
        <v>34</v>
      </c>
      <c r="RQ2" t="s">
        <v>36</v>
      </c>
      <c r="RR2" t="s">
        <v>9</v>
      </c>
      <c r="RS2" t="s">
        <v>12</v>
      </c>
      <c r="RT2" t="s">
        <v>15</v>
      </c>
      <c r="RU2" t="s">
        <v>18</v>
      </c>
      <c r="RV2" t="s">
        <v>21</v>
      </c>
      <c r="RW2" t="s">
        <v>24</v>
      </c>
      <c r="RX2" t="s">
        <v>27</v>
      </c>
      <c r="RY2" t="s">
        <v>30</v>
      </c>
      <c r="RZ2" t="s">
        <v>32</v>
      </c>
      <c r="SA2" t="s">
        <v>34</v>
      </c>
      <c r="SB2" t="s">
        <v>36</v>
      </c>
      <c r="SC2" t="s">
        <v>9</v>
      </c>
      <c r="SD2" t="s">
        <v>12</v>
      </c>
      <c r="SE2" t="s">
        <v>15</v>
      </c>
      <c r="SF2" t="s">
        <v>18</v>
      </c>
      <c r="SG2" t="s">
        <v>21</v>
      </c>
      <c r="SH2" t="s">
        <v>24</v>
      </c>
      <c r="SI2" t="s">
        <v>27</v>
      </c>
      <c r="SJ2" t="s">
        <v>30</v>
      </c>
      <c r="SK2" t="s">
        <v>32</v>
      </c>
      <c r="SL2" t="s">
        <v>34</v>
      </c>
      <c r="SM2" t="s">
        <v>36</v>
      </c>
      <c r="SN2" t="s">
        <v>9</v>
      </c>
      <c r="SO2" t="s">
        <v>12</v>
      </c>
      <c r="SP2" t="s">
        <v>15</v>
      </c>
      <c r="SQ2" t="s">
        <v>18</v>
      </c>
      <c r="SR2" t="s">
        <v>21</v>
      </c>
      <c r="SS2" t="s">
        <v>24</v>
      </c>
      <c r="ST2" t="s">
        <v>27</v>
      </c>
      <c r="SU2" t="s">
        <v>30</v>
      </c>
      <c r="SV2" t="s">
        <v>32</v>
      </c>
      <c r="SW2" t="s">
        <v>34</v>
      </c>
      <c r="SX2" t="s">
        <v>36</v>
      </c>
      <c r="SY2" t="s">
        <v>9</v>
      </c>
      <c r="SZ2" t="s">
        <v>12</v>
      </c>
      <c r="TA2" t="s">
        <v>15</v>
      </c>
      <c r="TB2" t="s">
        <v>18</v>
      </c>
      <c r="TC2" t="s">
        <v>21</v>
      </c>
      <c r="TD2" t="s">
        <v>24</v>
      </c>
      <c r="TE2" t="s">
        <v>27</v>
      </c>
      <c r="TF2" t="s">
        <v>30</v>
      </c>
      <c r="TG2" t="s">
        <v>32</v>
      </c>
      <c r="TH2" t="s">
        <v>34</v>
      </c>
      <c r="TI2" t="s">
        <v>36</v>
      </c>
      <c r="TJ2" t="s">
        <v>9</v>
      </c>
      <c r="TK2" t="s">
        <v>12</v>
      </c>
      <c r="TL2" t="s">
        <v>15</v>
      </c>
      <c r="TM2" t="s">
        <v>18</v>
      </c>
      <c r="TN2" t="s">
        <v>21</v>
      </c>
      <c r="TO2" t="s">
        <v>24</v>
      </c>
      <c r="TP2" t="s">
        <v>27</v>
      </c>
      <c r="TQ2" t="s">
        <v>30</v>
      </c>
      <c r="TR2" t="s">
        <v>32</v>
      </c>
      <c r="TS2" t="s">
        <v>34</v>
      </c>
      <c r="TT2" t="s">
        <v>36</v>
      </c>
      <c r="TU2" t="s">
        <v>9</v>
      </c>
      <c r="TV2" t="s">
        <v>12</v>
      </c>
      <c r="TW2" t="s">
        <v>15</v>
      </c>
      <c r="TX2" t="s">
        <v>18</v>
      </c>
      <c r="TY2" t="s">
        <v>21</v>
      </c>
      <c r="TZ2" t="s">
        <v>24</v>
      </c>
      <c r="UA2" t="s">
        <v>27</v>
      </c>
      <c r="UB2" t="s">
        <v>30</v>
      </c>
      <c r="UC2" t="s">
        <v>32</v>
      </c>
      <c r="UD2" t="s">
        <v>34</v>
      </c>
      <c r="UE2" t="s">
        <v>36</v>
      </c>
      <c r="UF2" t="s">
        <v>9</v>
      </c>
      <c r="UG2" t="s">
        <v>12</v>
      </c>
      <c r="UH2" t="s">
        <v>15</v>
      </c>
      <c r="UI2" t="s">
        <v>18</v>
      </c>
      <c r="UJ2" t="s">
        <v>21</v>
      </c>
      <c r="UK2" t="s">
        <v>24</v>
      </c>
      <c r="UL2" t="s">
        <v>27</v>
      </c>
      <c r="UM2" t="s">
        <v>30</v>
      </c>
      <c r="UN2" t="s">
        <v>32</v>
      </c>
      <c r="UO2" t="s">
        <v>34</v>
      </c>
      <c r="UP2" t="s">
        <v>36</v>
      </c>
      <c r="UQ2" t="s">
        <v>9</v>
      </c>
      <c r="UR2" t="s">
        <v>12</v>
      </c>
      <c r="US2" t="s">
        <v>15</v>
      </c>
      <c r="UT2" t="s">
        <v>18</v>
      </c>
      <c r="UU2" t="s">
        <v>21</v>
      </c>
      <c r="UV2" t="s">
        <v>24</v>
      </c>
      <c r="UW2" t="s">
        <v>27</v>
      </c>
      <c r="UX2" t="s">
        <v>30</v>
      </c>
      <c r="UY2" t="s">
        <v>32</v>
      </c>
      <c r="UZ2" t="s">
        <v>34</v>
      </c>
      <c r="VA2" t="s">
        <v>36</v>
      </c>
      <c r="VB2" t="s">
        <v>9</v>
      </c>
      <c r="VC2" t="s">
        <v>12</v>
      </c>
      <c r="VD2" t="s">
        <v>15</v>
      </c>
      <c r="VE2" t="s">
        <v>18</v>
      </c>
      <c r="VF2" t="s">
        <v>21</v>
      </c>
      <c r="VG2" t="s">
        <v>24</v>
      </c>
      <c r="VH2" t="s">
        <v>27</v>
      </c>
      <c r="VI2" t="s">
        <v>30</v>
      </c>
      <c r="VJ2" t="s">
        <v>32</v>
      </c>
      <c r="VK2" t="s">
        <v>34</v>
      </c>
      <c r="VL2" t="s">
        <v>36</v>
      </c>
      <c r="VM2" t="s">
        <v>9</v>
      </c>
      <c r="VN2" t="s">
        <v>12</v>
      </c>
      <c r="VO2" t="s">
        <v>15</v>
      </c>
      <c r="VP2" t="s">
        <v>18</v>
      </c>
      <c r="VQ2" t="s">
        <v>21</v>
      </c>
      <c r="VR2" t="s">
        <v>24</v>
      </c>
      <c r="VS2" t="s">
        <v>27</v>
      </c>
      <c r="VT2" t="s">
        <v>30</v>
      </c>
      <c r="VU2" t="s">
        <v>32</v>
      </c>
      <c r="VV2" t="s">
        <v>34</v>
      </c>
      <c r="VW2" t="s">
        <v>36</v>
      </c>
      <c r="VX2" t="s">
        <v>9</v>
      </c>
      <c r="VY2" t="s">
        <v>12</v>
      </c>
      <c r="VZ2" t="s">
        <v>15</v>
      </c>
      <c r="WA2" t="s">
        <v>18</v>
      </c>
      <c r="WB2" t="s">
        <v>21</v>
      </c>
      <c r="WC2" t="s">
        <v>24</v>
      </c>
      <c r="WD2" t="s">
        <v>27</v>
      </c>
      <c r="WE2" t="s">
        <v>30</v>
      </c>
      <c r="WF2" t="s">
        <v>32</v>
      </c>
      <c r="WG2" t="s">
        <v>34</v>
      </c>
      <c r="WH2" t="s">
        <v>36</v>
      </c>
      <c r="WI2" t="s">
        <v>9</v>
      </c>
      <c r="WJ2" t="s">
        <v>12</v>
      </c>
      <c r="WK2" t="s">
        <v>15</v>
      </c>
      <c r="WL2" t="s">
        <v>18</v>
      </c>
      <c r="WM2" t="s">
        <v>21</v>
      </c>
      <c r="WN2" t="s">
        <v>24</v>
      </c>
      <c r="WO2" t="s">
        <v>27</v>
      </c>
      <c r="WP2" t="s">
        <v>30</v>
      </c>
      <c r="WQ2" t="s">
        <v>32</v>
      </c>
      <c r="WR2" t="s">
        <v>34</v>
      </c>
      <c r="WS2" t="s">
        <v>36</v>
      </c>
      <c r="WT2" t="s">
        <v>9</v>
      </c>
      <c r="WU2" t="s">
        <v>12</v>
      </c>
      <c r="WV2" t="s">
        <v>15</v>
      </c>
      <c r="WW2" t="s">
        <v>18</v>
      </c>
      <c r="WX2" t="s">
        <v>21</v>
      </c>
      <c r="WY2" t="s">
        <v>24</v>
      </c>
      <c r="WZ2" t="s">
        <v>27</v>
      </c>
      <c r="XA2" t="s">
        <v>30</v>
      </c>
      <c r="XB2" t="s">
        <v>32</v>
      </c>
      <c r="XC2" t="s">
        <v>34</v>
      </c>
      <c r="XD2" t="s">
        <v>36</v>
      </c>
      <c r="XE2" t="s">
        <v>9</v>
      </c>
      <c r="XF2" t="s">
        <v>12</v>
      </c>
      <c r="XG2" t="s">
        <v>15</v>
      </c>
      <c r="XH2" t="s">
        <v>18</v>
      </c>
      <c r="XI2" t="s">
        <v>21</v>
      </c>
      <c r="XJ2" t="s">
        <v>24</v>
      </c>
      <c r="XK2" t="s">
        <v>27</v>
      </c>
      <c r="XL2" t="s">
        <v>30</v>
      </c>
      <c r="XM2" t="s">
        <v>32</v>
      </c>
      <c r="XN2" t="s">
        <v>34</v>
      </c>
      <c r="XO2" t="s">
        <v>36</v>
      </c>
      <c r="XP2" t="s">
        <v>9</v>
      </c>
      <c r="XQ2" t="s">
        <v>12</v>
      </c>
      <c r="XR2" t="s">
        <v>15</v>
      </c>
      <c r="XS2" t="s">
        <v>18</v>
      </c>
      <c r="XT2" t="s">
        <v>21</v>
      </c>
      <c r="XU2" t="s">
        <v>24</v>
      </c>
      <c r="XV2" t="s">
        <v>27</v>
      </c>
      <c r="XW2" t="s">
        <v>30</v>
      </c>
      <c r="XX2" t="s">
        <v>32</v>
      </c>
      <c r="XY2" t="s">
        <v>34</v>
      </c>
      <c r="XZ2" t="s">
        <v>36</v>
      </c>
      <c r="YA2" t="s">
        <v>9</v>
      </c>
      <c r="YB2" t="s">
        <v>12</v>
      </c>
      <c r="YC2" t="s">
        <v>15</v>
      </c>
      <c r="YD2" t="s">
        <v>18</v>
      </c>
      <c r="YE2" t="s">
        <v>21</v>
      </c>
      <c r="YF2" t="s">
        <v>24</v>
      </c>
      <c r="YG2" t="s">
        <v>27</v>
      </c>
      <c r="YH2" t="s">
        <v>30</v>
      </c>
      <c r="YI2" t="s">
        <v>32</v>
      </c>
      <c r="YJ2" t="s">
        <v>34</v>
      </c>
      <c r="YK2" t="s">
        <v>36</v>
      </c>
      <c r="YL2" t="s">
        <v>9</v>
      </c>
      <c r="YM2" t="s">
        <v>12</v>
      </c>
      <c r="YN2" t="s">
        <v>15</v>
      </c>
      <c r="YO2" t="s">
        <v>18</v>
      </c>
      <c r="YP2" t="s">
        <v>21</v>
      </c>
      <c r="YQ2" t="s">
        <v>24</v>
      </c>
      <c r="YR2" t="s">
        <v>27</v>
      </c>
      <c r="YS2" t="s">
        <v>30</v>
      </c>
      <c r="YT2" t="s">
        <v>32</v>
      </c>
      <c r="YU2" t="s">
        <v>34</v>
      </c>
      <c r="YV2" t="s">
        <v>36</v>
      </c>
      <c r="YW2" t="s">
        <v>9</v>
      </c>
      <c r="YX2" t="s">
        <v>12</v>
      </c>
      <c r="YY2" t="s">
        <v>15</v>
      </c>
      <c r="YZ2" t="s">
        <v>18</v>
      </c>
      <c r="ZA2" t="s">
        <v>21</v>
      </c>
      <c r="ZB2" t="s">
        <v>24</v>
      </c>
      <c r="ZC2" t="s">
        <v>27</v>
      </c>
      <c r="ZD2" t="s">
        <v>30</v>
      </c>
      <c r="ZE2" t="s">
        <v>32</v>
      </c>
      <c r="ZF2" t="s">
        <v>34</v>
      </c>
      <c r="ZG2" t="s">
        <v>36</v>
      </c>
      <c r="ZH2" t="s">
        <v>9</v>
      </c>
      <c r="ZI2" t="s">
        <v>12</v>
      </c>
      <c r="ZJ2" t="s">
        <v>15</v>
      </c>
      <c r="ZK2" t="s">
        <v>18</v>
      </c>
      <c r="ZL2" t="s">
        <v>21</v>
      </c>
      <c r="ZM2" t="s">
        <v>24</v>
      </c>
      <c r="ZN2" t="s">
        <v>27</v>
      </c>
      <c r="ZO2" t="s">
        <v>30</v>
      </c>
      <c r="ZP2" t="s">
        <v>32</v>
      </c>
      <c r="ZQ2" t="s">
        <v>34</v>
      </c>
      <c r="ZR2" t="s">
        <v>36</v>
      </c>
      <c r="ZS2" t="s">
        <v>9</v>
      </c>
      <c r="ZT2" t="s">
        <v>12</v>
      </c>
      <c r="ZU2" t="s">
        <v>15</v>
      </c>
      <c r="ZV2" t="s">
        <v>18</v>
      </c>
      <c r="ZW2" t="s">
        <v>21</v>
      </c>
      <c r="ZX2" t="s">
        <v>24</v>
      </c>
      <c r="ZY2" t="s">
        <v>27</v>
      </c>
      <c r="ZZ2" t="s">
        <v>30</v>
      </c>
      <c r="AAA2" t="s">
        <v>32</v>
      </c>
      <c r="AAB2" t="s">
        <v>34</v>
      </c>
      <c r="AAC2" t="s">
        <v>36</v>
      </c>
      <c r="AAD2" t="s">
        <v>9</v>
      </c>
      <c r="AAE2" t="s">
        <v>12</v>
      </c>
      <c r="AAF2" t="s">
        <v>15</v>
      </c>
      <c r="AAG2" t="s">
        <v>18</v>
      </c>
      <c r="AAH2" t="s">
        <v>21</v>
      </c>
      <c r="AAI2" t="s">
        <v>24</v>
      </c>
      <c r="AAJ2" t="s">
        <v>27</v>
      </c>
      <c r="AAK2" t="s">
        <v>30</v>
      </c>
      <c r="AAL2" t="s">
        <v>32</v>
      </c>
      <c r="AAM2" t="s">
        <v>34</v>
      </c>
      <c r="AAN2" t="s">
        <v>36</v>
      </c>
      <c r="AAO2" t="s">
        <v>9</v>
      </c>
      <c r="AAP2" t="s">
        <v>12</v>
      </c>
      <c r="AAQ2" t="s">
        <v>15</v>
      </c>
      <c r="AAR2" t="s">
        <v>18</v>
      </c>
      <c r="AAS2" t="s">
        <v>21</v>
      </c>
      <c r="AAT2" t="s">
        <v>24</v>
      </c>
      <c r="AAU2" t="s">
        <v>27</v>
      </c>
      <c r="AAV2" t="s">
        <v>30</v>
      </c>
      <c r="AAW2" t="s">
        <v>32</v>
      </c>
      <c r="AAX2" t="s">
        <v>34</v>
      </c>
      <c r="AAY2" t="s">
        <v>36</v>
      </c>
      <c r="AAZ2" t="s">
        <v>9</v>
      </c>
      <c r="ABA2" t="s">
        <v>12</v>
      </c>
      <c r="ABB2" t="s">
        <v>15</v>
      </c>
      <c r="ABC2" t="s">
        <v>18</v>
      </c>
      <c r="ABD2" t="s">
        <v>21</v>
      </c>
      <c r="ABE2" t="s">
        <v>24</v>
      </c>
      <c r="ABF2" t="s">
        <v>27</v>
      </c>
      <c r="ABG2" t="s">
        <v>30</v>
      </c>
      <c r="ABH2" t="s">
        <v>32</v>
      </c>
      <c r="ABI2" t="s">
        <v>34</v>
      </c>
      <c r="ABJ2" t="s">
        <v>36</v>
      </c>
      <c r="ABK2" t="s">
        <v>9</v>
      </c>
      <c r="ABL2" t="s">
        <v>12</v>
      </c>
      <c r="ABM2" t="s">
        <v>15</v>
      </c>
      <c r="ABN2" t="s">
        <v>18</v>
      </c>
      <c r="ABO2" t="s">
        <v>21</v>
      </c>
      <c r="ABP2" t="s">
        <v>24</v>
      </c>
      <c r="ABQ2" t="s">
        <v>27</v>
      </c>
      <c r="ABR2" t="s">
        <v>30</v>
      </c>
      <c r="ABS2" t="s">
        <v>32</v>
      </c>
      <c r="ABT2" t="s">
        <v>34</v>
      </c>
      <c r="ABU2" t="s">
        <v>36</v>
      </c>
      <c r="ABV2" t="s">
        <v>9</v>
      </c>
      <c r="ABW2" t="s">
        <v>12</v>
      </c>
      <c r="ABX2" t="s">
        <v>15</v>
      </c>
      <c r="ABY2" t="s">
        <v>18</v>
      </c>
      <c r="ABZ2" t="s">
        <v>21</v>
      </c>
      <c r="ACA2" t="s">
        <v>24</v>
      </c>
      <c r="ACB2" t="s">
        <v>27</v>
      </c>
      <c r="ACC2" t="s">
        <v>30</v>
      </c>
      <c r="ACD2" t="s">
        <v>32</v>
      </c>
      <c r="ACE2" t="s">
        <v>34</v>
      </c>
      <c r="ACF2" t="s">
        <v>36</v>
      </c>
      <c r="ACG2" t="s">
        <v>9</v>
      </c>
      <c r="ACH2" t="s">
        <v>12</v>
      </c>
      <c r="ACI2" t="s">
        <v>15</v>
      </c>
      <c r="ACJ2" t="s">
        <v>18</v>
      </c>
      <c r="ACK2" t="s">
        <v>21</v>
      </c>
      <c r="ACL2" t="s">
        <v>24</v>
      </c>
      <c r="ACM2" t="s">
        <v>27</v>
      </c>
      <c r="ACN2" t="s">
        <v>30</v>
      </c>
      <c r="ACO2" t="s">
        <v>32</v>
      </c>
      <c r="ACP2" t="s">
        <v>34</v>
      </c>
      <c r="ACQ2" t="s">
        <v>36</v>
      </c>
      <c r="ACR2" t="s">
        <v>9</v>
      </c>
      <c r="ACS2" t="s">
        <v>12</v>
      </c>
      <c r="ACT2" t="s">
        <v>15</v>
      </c>
      <c r="ACU2" t="s">
        <v>18</v>
      </c>
      <c r="ACV2" t="s">
        <v>21</v>
      </c>
      <c r="ACW2" t="s">
        <v>24</v>
      </c>
      <c r="ACX2" t="s">
        <v>27</v>
      </c>
      <c r="ACY2" t="s">
        <v>30</v>
      </c>
      <c r="ACZ2" t="s">
        <v>32</v>
      </c>
      <c r="ADA2" t="s">
        <v>34</v>
      </c>
      <c r="ADB2" t="s">
        <v>36</v>
      </c>
      <c r="ADC2" t="s">
        <v>9</v>
      </c>
      <c r="ADD2" t="s">
        <v>12</v>
      </c>
      <c r="ADE2" t="s">
        <v>15</v>
      </c>
      <c r="ADF2" t="s">
        <v>18</v>
      </c>
      <c r="ADG2" t="s">
        <v>21</v>
      </c>
      <c r="ADH2" t="s">
        <v>24</v>
      </c>
      <c r="ADI2" t="s">
        <v>27</v>
      </c>
      <c r="ADJ2" t="s">
        <v>30</v>
      </c>
      <c r="ADK2" t="s">
        <v>32</v>
      </c>
      <c r="ADL2" t="s">
        <v>34</v>
      </c>
      <c r="ADM2" t="s">
        <v>36</v>
      </c>
      <c r="ADN2" t="s">
        <v>9</v>
      </c>
      <c r="ADO2" t="s">
        <v>12</v>
      </c>
      <c r="ADP2" t="s">
        <v>15</v>
      </c>
      <c r="ADQ2" t="s">
        <v>18</v>
      </c>
      <c r="ADR2" t="s">
        <v>21</v>
      </c>
      <c r="ADS2" t="s">
        <v>24</v>
      </c>
      <c r="ADT2" t="s">
        <v>27</v>
      </c>
      <c r="ADU2" t="s">
        <v>30</v>
      </c>
      <c r="ADV2" t="s">
        <v>32</v>
      </c>
      <c r="ADW2" t="s">
        <v>34</v>
      </c>
      <c r="ADX2" t="s">
        <v>36</v>
      </c>
      <c r="ADY2" t="s">
        <v>9</v>
      </c>
      <c r="ADZ2" t="s">
        <v>12</v>
      </c>
      <c r="AEA2" t="s">
        <v>15</v>
      </c>
      <c r="AEB2" t="s">
        <v>18</v>
      </c>
      <c r="AEC2" t="s">
        <v>21</v>
      </c>
      <c r="AED2" t="s">
        <v>24</v>
      </c>
      <c r="AEE2" t="s">
        <v>27</v>
      </c>
      <c r="AEF2" t="s">
        <v>30</v>
      </c>
      <c r="AEG2" t="s">
        <v>32</v>
      </c>
      <c r="AEH2" t="s">
        <v>34</v>
      </c>
      <c r="AEI2" t="s">
        <v>36</v>
      </c>
      <c r="AEJ2" t="s">
        <v>9</v>
      </c>
      <c r="AEK2" t="s">
        <v>12</v>
      </c>
      <c r="AEL2" t="s">
        <v>15</v>
      </c>
      <c r="AEM2" t="s">
        <v>18</v>
      </c>
      <c r="AEN2" t="s">
        <v>21</v>
      </c>
      <c r="AEO2" t="s">
        <v>24</v>
      </c>
      <c r="AEP2" t="s">
        <v>27</v>
      </c>
      <c r="AEQ2" t="s">
        <v>30</v>
      </c>
      <c r="AER2" t="s">
        <v>32</v>
      </c>
      <c r="AES2" t="s">
        <v>34</v>
      </c>
      <c r="AET2" t="s">
        <v>36</v>
      </c>
      <c r="AEU2" t="s">
        <v>9</v>
      </c>
      <c r="AEV2" t="s">
        <v>12</v>
      </c>
      <c r="AEW2" t="s">
        <v>15</v>
      </c>
      <c r="AEX2" t="s">
        <v>18</v>
      </c>
      <c r="AEY2" t="s">
        <v>21</v>
      </c>
      <c r="AEZ2" t="s">
        <v>24</v>
      </c>
      <c r="AFA2" t="s">
        <v>27</v>
      </c>
      <c r="AFB2" t="s">
        <v>30</v>
      </c>
      <c r="AFC2" t="s">
        <v>32</v>
      </c>
      <c r="AFD2" t="s">
        <v>34</v>
      </c>
      <c r="AFE2" t="s">
        <v>36</v>
      </c>
      <c r="AFF2" t="s">
        <v>9</v>
      </c>
      <c r="AFG2" t="s">
        <v>12</v>
      </c>
      <c r="AFH2" t="s">
        <v>15</v>
      </c>
      <c r="AFI2" t="s">
        <v>18</v>
      </c>
      <c r="AFJ2" t="s">
        <v>21</v>
      </c>
      <c r="AFK2" t="s">
        <v>24</v>
      </c>
      <c r="AFL2" t="s">
        <v>27</v>
      </c>
      <c r="AFM2" t="s">
        <v>30</v>
      </c>
      <c r="AFN2" t="s">
        <v>32</v>
      </c>
      <c r="AFO2" t="s">
        <v>34</v>
      </c>
      <c r="AFP2" t="s">
        <v>36</v>
      </c>
      <c r="AFQ2" t="s">
        <v>9</v>
      </c>
      <c r="AFR2" t="s">
        <v>12</v>
      </c>
      <c r="AFS2" t="s">
        <v>15</v>
      </c>
      <c r="AFT2" t="s">
        <v>18</v>
      </c>
      <c r="AFU2" t="s">
        <v>21</v>
      </c>
      <c r="AFV2" t="s">
        <v>24</v>
      </c>
      <c r="AFW2" t="s">
        <v>27</v>
      </c>
      <c r="AFX2" t="s">
        <v>30</v>
      </c>
      <c r="AFY2" t="s">
        <v>32</v>
      </c>
      <c r="AFZ2" t="s">
        <v>34</v>
      </c>
      <c r="AGA2" t="s">
        <v>36</v>
      </c>
      <c r="AGB2" t="s">
        <v>9</v>
      </c>
      <c r="AGC2" t="s">
        <v>12</v>
      </c>
      <c r="AGD2" t="s">
        <v>15</v>
      </c>
      <c r="AGE2" t="s">
        <v>18</v>
      </c>
      <c r="AGF2" t="s">
        <v>21</v>
      </c>
      <c r="AGG2" t="s">
        <v>24</v>
      </c>
      <c r="AGH2" t="s">
        <v>27</v>
      </c>
      <c r="AGI2" t="s">
        <v>30</v>
      </c>
      <c r="AGJ2" t="s">
        <v>32</v>
      </c>
      <c r="AGK2" t="s">
        <v>34</v>
      </c>
      <c r="AGL2" t="s">
        <v>36</v>
      </c>
      <c r="AGM2" t="s">
        <v>9</v>
      </c>
      <c r="AGN2" t="s">
        <v>12</v>
      </c>
      <c r="AGO2" t="s">
        <v>15</v>
      </c>
      <c r="AGP2" t="s">
        <v>18</v>
      </c>
      <c r="AGQ2" t="s">
        <v>21</v>
      </c>
      <c r="AGR2" t="s">
        <v>24</v>
      </c>
      <c r="AGS2" t="s">
        <v>27</v>
      </c>
      <c r="AGT2" t="s">
        <v>30</v>
      </c>
      <c r="AGU2" t="s">
        <v>32</v>
      </c>
      <c r="AGV2" t="s">
        <v>34</v>
      </c>
      <c r="AGW2" t="s">
        <v>36</v>
      </c>
      <c r="AGX2" t="s">
        <v>9</v>
      </c>
      <c r="AGY2" t="s">
        <v>12</v>
      </c>
      <c r="AGZ2" t="s">
        <v>15</v>
      </c>
      <c r="AHA2" t="s">
        <v>18</v>
      </c>
      <c r="AHB2" t="s">
        <v>21</v>
      </c>
      <c r="AHC2" t="s">
        <v>24</v>
      </c>
      <c r="AHD2" t="s">
        <v>27</v>
      </c>
      <c r="AHE2" t="s">
        <v>30</v>
      </c>
      <c r="AHF2" t="s">
        <v>32</v>
      </c>
      <c r="AHG2" t="s">
        <v>34</v>
      </c>
      <c r="AHH2" t="s">
        <v>36</v>
      </c>
      <c r="AHI2" t="s">
        <v>9</v>
      </c>
      <c r="AHJ2" t="s">
        <v>12</v>
      </c>
      <c r="AHK2" t="s">
        <v>15</v>
      </c>
      <c r="AHL2" t="s">
        <v>18</v>
      </c>
      <c r="AHM2" t="s">
        <v>21</v>
      </c>
      <c r="AHN2" t="s">
        <v>24</v>
      </c>
      <c r="AHO2" t="s">
        <v>27</v>
      </c>
      <c r="AHP2" t="s">
        <v>30</v>
      </c>
      <c r="AHQ2" t="s">
        <v>32</v>
      </c>
      <c r="AHR2" t="s">
        <v>34</v>
      </c>
      <c r="AHS2" t="s">
        <v>36</v>
      </c>
      <c r="AHT2" t="s">
        <v>9</v>
      </c>
      <c r="AHU2" t="s">
        <v>12</v>
      </c>
      <c r="AHV2" t="s">
        <v>15</v>
      </c>
      <c r="AHW2" t="s">
        <v>18</v>
      </c>
      <c r="AHX2" t="s">
        <v>21</v>
      </c>
      <c r="AHY2" t="s">
        <v>24</v>
      </c>
      <c r="AHZ2" t="s">
        <v>27</v>
      </c>
      <c r="AIA2" t="s">
        <v>30</v>
      </c>
      <c r="AIB2" t="s">
        <v>32</v>
      </c>
      <c r="AIC2" t="s">
        <v>34</v>
      </c>
      <c r="AID2" t="s">
        <v>36</v>
      </c>
      <c r="AIE2" t="s">
        <v>9</v>
      </c>
      <c r="AIF2" t="s">
        <v>12</v>
      </c>
      <c r="AIG2" t="s">
        <v>15</v>
      </c>
      <c r="AIH2" t="s">
        <v>18</v>
      </c>
      <c r="AII2" t="s">
        <v>21</v>
      </c>
      <c r="AIJ2" t="s">
        <v>24</v>
      </c>
      <c r="AIK2" t="s">
        <v>27</v>
      </c>
      <c r="AIL2" t="s">
        <v>30</v>
      </c>
      <c r="AIM2" t="s">
        <v>32</v>
      </c>
      <c r="AIN2" t="s">
        <v>34</v>
      </c>
      <c r="AIO2" t="s">
        <v>36</v>
      </c>
      <c r="AIP2" t="s">
        <v>9</v>
      </c>
      <c r="AIQ2" t="s">
        <v>12</v>
      </c>
      <c r="AIR2" t="s">
        <v>15</v>
      </c>
      <c r="AIS2" t="s">
        <v>18</v>
      </c>
      <c r="AIT2" t="s">
        <v>21</v>
      </c>
      <c r="AIU2" t="s">
        <v>24</v>
      </c>
      <c r="AIV2" t="s">
        <v>27</v>
      </c>
      <c r="AIW2" t="s">
        <v>30</v>
      </c>
      <c r="AIX2" t="s">
        <v>32</v>
      </c>
      <c r="AIY2" t="s">
        <v>34</v>
      </c>
      <c r="AIZ2" t="s">
        <v>36</v>
      </c>
      <c r="AJA2" t="s">
        <v>9</v>
      </c>
      <c r="AJB2" t="s">
        <v>12</v>
      </c>
      <c r="AJC2" t="s">
        <v>15</v>
      </c>
      <c r="AJD2" t="s">
        <v>18</v>
      </c>
      <c r="AJE2" t="s">
        <v>21</v>
      </c>
      <c r="AJF2" t="s">
        <v>24</v>
      </c>
      <c r="AJG2" t="s">
        <v>27</v>
      </c>
      <c r="AJH2" t="s">
        <v>30</v>
      </c>
      <c r="AJI2" t="s">
        <v>32</v>
      </c>
      <c r="AJJ2" t="s">
        <v>34</v>
      </c>
      <c r="AJK2" t="s">
        <v>36</v>
      </c>
      <c r="AJL2" t="s">
        <v>9</v>
      </c>
      <c r="AJM2" t="s">
        <v>12</v>
      </c>
      <c r="AJN2" t="s">
        <v>15</v>
      </c>
      <c r="AJO2" t="s">
        <v>18</v>
      </c>
      <c r="AJP2" t="s">
        <v>21</v>
      </c>
      <c r="AJQ2" t="s">
        <v>24</v>
      </c>
      <c r="AJR2" t="s">
        <v>27</v>
      </c>
      <c r="AJS2" t="s">
        <v>30</v>
      </c>
      <c r="AJT2" t="s">
        <v>32</v>
      </c>
      <c r="AJU2" t="s">
        <v>34</v>
      </c>
      <c r="AJV2" t="s">
        <v>36</v>
      </c>
      <c r="AJW2" t="s">
        <v>9</v>
      </c>
      <c r="AJX2" t="s">
        <v>12</v>
      </c>
      <c r="AJY2" t="s">
        <v>15</v>
      </c>
      <c r="AJZ2" t="s">
        <v>18</v>
      </c>
      <c r="AKA2" t="s">
        <v>21</v>
      </c>
      <c r="AKB2" t="s">
        <v>24</v>
      </c>
      <c r="AKC2" t="s">
        <v>27</v>
      </c>
      <c r="AKD2" t="s">
        <v>30</v>
      </c>
      <c r="AKE2" t="s">
        <v>32</v>
      </c>
      <c r="AKF2" t="s">
        <v>34</v>
      </c>
      <c r="AKG2" t="s">
        <v>36</v>
      </c>
      <c r="AKH2" t="s">
        <v>9</v>
      </c>
      <c r="AKI2" t="s">
        <v>12</v>
      </c>
      <c r="AKJ2" t="s">
        <v>15</v>
      </c>
      <c r="AKK2" t="s">
        <v>18</v>
      </c>
      <c r="AKL2" t="s">
        <v>21</v>
      </c>
      <c r="AKM2" t="s">
        <v>24</v>
      </c>
      <c r="AKN2" t="s">
        <v>27</v>
      </c>
      <c r="AKO2" t="s">
        <v>30</v>
      </c>
      <c r="AKP2" t="s">
        <v>32</v>
      </c>
      <c r="AKQ2" t="s">
        <v>34</v>
      </c>
      <c r="AKR2" t="s">
        <v>36</v>
      </c>
      <c r="AKS2" t="s">
        <v>9</v>
      </c>
      <c r="AKT2" t="s">
        <v>12</v>
      </c>
      <c r="AKU2" t="s">
        <v>15</v>
      </c>
      <c r="AKV2" t="s">
        <v>18</v>
      </c>
      <c r="AKW2" t="s">
        <v>21</v>
      </c>
      <c r="AKX2" t="s">
        <v>24</v>
      </c>
      <c r="AKY2" t="s">
        <v>27</v>
      </c>
      <c r="AKZ2" t="s">
        <v>30</v>
      </c>
      <c r="ALA2" t="s">
        <v>32</v>
      </c>
      <c r="ALB2" t="s">
        <v>34</v>
      </c>
      <c r="ALC2" t="s">
        <v>36</v>
      </c>
      <c r="ALD2" t="s">
        <v>9</v>
      </c>
      <c r="ALE2" t="s">
        <v>12</v>
      </c>
      <c r="ALF2" t="s">
        <v>15</v>
      </c>
      <c r="ALG2" t="s">
        <v>18</v>
      </c>
      <c r="ALH2" t="s">
        <v>21</v>
      </c>
      <c r="ALI2" t="s">
        <v>24</v>
      </c>
      <c r="ALJ2" t="s">
        <v>27</v>
      </c>
      <c r="ALK2" t="s">
        <v>30</v>
      </c>
      <c r="ALL2" t="s">
        <v>32</v>
      </c>
      <c r="ALM2" t="s">
        <v>34</v>
      </c>
      <c r="ALN2" t="s">
        <v>36</v>
      </c>
      <c r="ALO2" t="s">
        <v>9</v>
      </c>
      <c r="ALP2" t="s">
        <v>12</v>
      </c>
      <c r="ALQ2" t="s">
        <v>15</v>
      </c>
      <c r="ALR2" t="s">
        <v>18</v>
      </c>
      <c r="ALS2" t="s">
        <v>21</v>
      </c>
      <c r="ALT2" t="s">
        <v>24</v>
      </c>
      <c r="ALU2" t="s">
        <v>27</v>
      </c>
      <c r="ALV2" t="s">
        <v>30</v>
      </c>
      <c r="ALW2" t="s">
        <v>32</v>
      </c>
      <c r="ALX2" t="s">
        <v>34</v>
      </c>
      <c r="ALY2" t="s">
        <v>36</v>
      </c>
      <c r="ALZ2" t="s">
        <v>9</v>
      </c>
      <c r="AMA2" t="s">
        <v>12</v>
      </c>
      <c r="AMB2" t="s">
        <v>15</v>
      </c>
      <c r="AMC2" t="s">
        <v>18</v>
      </c>
      <c r="AMD2" t="s">
        <v>21</v>
      </c>
      <c r="AME2" t="s">
        <v>24</v>
      </c>
      <c r="AMF2" t="s">
        <v>27</v>
      </c>
      <c r="AMG2" t="s">
        <v>30</v>
      </c>
      <c r="AMH2" t="s">
        <v>32</v>
      </c>
      <c r="AMI2" t="s">
        <v>34</v>
      </c>
      <c r="AMJ2" t="s">
        <v>36</v>
      </c>
      <c r="AMK2" t="s">
        <v>9</v>
      </c>
      <c r="AML2" t="s">
        <v>12</v>
      </c>
      <c r="AMM2" t="s">
        <v>15</v>
      </c>
      <c r="AMN2" t="s">
        <v>18</v>
      </c>
      <c r="AMO2" t="s">
        <v>21</v>
      </c>
      <c r="AMP2" t="s">
        <v>24</v>
      </c>
      <c r="AMQ2" t="s">
        <v>27</v>
      </c>
      <c r="AMR2" t="s">
        <v>30</v>
      </c>
      <c r="AMS2" t="s">
        <v>32</v>
      </c>
      <c r="AMT2" t="s">
        <v>34</v>
      </c>
      <c r="AMU2" t="s">
        <v>36</v>
      </c>
      <c r="AMV2" t="s">
        <v>9</v>
      </c>
      <c r="AMW2" t="s">
        <v>12</v>
      </c>
      <c r="AMX2" t="s">
        <v>15</v>
      </c>
      <c r="AMY2" t="s">
        <v>18</v>
      </c>
      <c r="AMZ2" t="s">
        <v>21</v>
      </c>
      <c r="ANA2" t="s">
        <v>24</v>
      </c>
      <c r="ANB2" t="s">
        <v>27</v>
      </c>
      <c r="ANC2" t="s">
        <v>30</v>
      </c>
      <c r="AND2" t="s">
        <v>32</v>
      </c>
      <c r="ANE2" t="s">
        <v>34</v>
      </c>
      <c r="ANF2" t="s">
        <v>36</v>
      </c>
      <c r="ANG2" t="s">
        <v>9</v>
      </c>
      <c r="ANH2" t="s">
        <v>12</v>
      </c>
      <c r="ANI2" t="s">
        <v>15</v>
      </c>
      <c r="ANJ2" t="s">
        <v>18</v>
      </c>
      <c r="ANK2" t="s">
        <v>21</v>
      </c>
      <c r="ANL2" t="s">
        <v>24</v>
      </c>
      <c r="ANM2" t="s">
        <v>27</v>
      </c>
      <c r="ANN2" t="s">
        <v>30</v>
      </c>
      <c r="ANO2" t="s">
        <v>32</v>
      </c>
      <c r="ANP2" t="s">
        <v>34</v>
      </c>
      <c r="ANQ2" t="s">
        <v>36</v>
      </c>
      <c r="ANR2" t="s">
        <v>9</v>
      </c>
      <c r="ANS2" t="s">
        <v>12</v>
      </c>
      <c r="ANT2" t="s">
        <v>15</v>
      </c>
      <c r="ANU2" t="s">
        <v>18</v>
      </c>
      <c r="ANV2" t="s">
        <v>21</v>
      </c>
      <c r="ANW2" t="s">
        <v>24</v>
      </c>
      <c r="ANX2" t="s">
        <v>27</v>
      </c>
      <c r="ANY2" t="s">
        <v>30</v>
      </c>
      <c r="ANZ2" t="s">
        <v>32</v>
      </c>
      <c r="AOA2" t="s">
        <v>34</v>
      </c>
      <c r="AOB2" t="s">
        <v>36</v>
      </c>
      <c r="AOC2" t="s">
        <v>9</v>
      </c>
      <c r="AOD2" t="s">
        <v>12</v>
      </c>
      <c r="AOE2" t="s">
        <v>15</v>
      </c>
      <c r="AOF2" t="s">
        <v>18</v>
      </c>
      <c r="AOG2" t="s">
        <v>21</v>
      </c>
      <c r="AOH2" t="s">
        <v>24</v>
      </c>
      <c r="AOI2" t="s">
        <v>27</v>
      </c>
      <c r="AOJ2" t="s">
        <v>30</v>
      </c>
      <c r="AOK2" t="s">
        <v>32</v>
      </c>
      <c r="AOL2" t="s">
        <v>34</v>
      </c>
      <c r="AOM2" t="s">
        <v>36</v>
      </c>
      <c r="AON2" t="s">
        <v>9</v>
      </c>
      <c r="AOO2" t="s">
        <v>12</v>
      </c>
      <c r="AOP2" t="s">
        <v>15</v>
      </c>
      <c r="AOQ2" t="s">
        <v>18</v>
      </c>
      <c r="AOR2" t="s">
        <v>21</v>
      </c>
      <c r="AOS2" t="s">
        <v>24</v>
      </c>
      <c r="AOT2" t="s">
        <v>27</v>
      </c>
      <c r="AOU2" t="s">
        <v>30</v>
      </c>
      <c r="AOV2" t="s">
        <v>32</v>
      </c>
      <c r="AOW2" t="s">
        <v>34</v>
      </c>
      <c r="AOX2" t="s">
        <v>36</v>
      </c>
      <c r="AOY2" t="s">
        <v>9</v>
      </c>
      <c r="AOZ2" t="s">
        <v>12</v>
      </c>
      <c r="APA2" t="s">
        <v>15</v>
      </c>
      <c r="APB2" t="s">
        <v>18</v>
      </c>
      <c r="APC2" t="s">
        <v>21</v>
      </c>
      <c r="APD2" t="s">
        <v>24</v>
      </c>
      <c r="APE2" t="s">
        <v>27</v>
      </c>
      <c r="APF2" t="s">
        <v>30</v>
      </c>
      <c r="APG2" t="s">
        <v>32</v>
      </c>
      <c r="APH2" t="s">
        <v>34</v>
      </c>
      <c r="API2" t="s">
        <v>36</v>
      </c>
      <c r="APJ2" t="s">
        <v>9</v>
      </c>
      <c r="APK2" t="s">
        <v>12</v>
      </c>
      <c r="APL2" t="s">
        <v>15</v>
      </c>
      <c r="APM2" t="s">
        <v>18</v>
      </c>
      <c r="APN2" t="s">
        <v>21</v>
      </c>
      <c r="APO2" t="s">
        <v>24</v>
      </c>
      <c r="APP2" t="s">
        <v>27</v>
      </c>
      <c r="APQ2" t="s">
        <v>30</v>
      </c>
      <c r="APR2" t="s">
        <v>32</v>
      </c>
      <c r="APS2" t="s">
        <v>34</v>
      </c>
      <c r="APT2" t="s">
        <v>36</v>
      </c>
      <c r="APU2" t="s">
        <v>9</v>
      </c>
      <c r="APV2" t="s">
        <v>12</v>
      </c>
      <c r="APW2" t="s">
        <v>15</v>
      </c>
      <c r="APX2" t="s">
        <v>18</v>
      </c>
      <c r="APY2" t="s">
        <v>21</v>
      </c>
      <c r="APZ2" t="s">
        <v>24</v>
      </c>
      <c r="AQA2" t="s">
        <v>27</v>
      </c>
      <c r="AQB2" t="s">
        <v>30</v>
      </c>
      <c r="AQC2" t="s">
        <v>32</v>
      </c>
      <c r="AQD2" t="s">
        <v>34</v>
      </c>
      <c r="AQE2" t="s">
        <v>36</v>
      </c>
      <c r="AQF2" t="s">
        <v>9</v>
      </c>
      <c r="AQG2" t="s">
        <v>12</v>
      </c>
      <c r="AQH2" t="s">
        <v>15</v>
      </c>
      <c r="AQI2" t="s">
        <v>18</v>
      </c>
      <c r="AQJ2" t="s">
        <v>21</v>
      </c>
      <c r="AQK2" t="s">
        <v>24</v>
      </c>
      <c r="AQL2" t="s">
        <v>27</v>
      </c>
      <c r="AQM2" t="s">
        <v>30</v>
      </c>
      <c r="AQN2" t="s">
        <v>32</v>
      </c>
      <c r="AQO2" t="s">
        <v>34</v>
      </c>
      <c r="AQP2" t="s">
        <v>36</v>
      </c>
      <c r="AQQ2" t="s">
        <v>9</v>
      </c>
      <c r="AQR2" t="s">
        <v>12</v>
      </c>
      <c r="AQS2" t="s">
        <v>15</v>
      </c>
      <c r="AQT2" t="s">
        <v>18</v>
      </c>
      <c r="AQU2" t="s">
        <v>21</v>
      </c>
      <c r="AQV2" t="s">
        <v>24</v>
      </c>
      <c r="AQW2" t="s">
        <v>27</v>
      </c>
      <c r="AQX2" t="s">
        <v>30</v>
      </c>
      <c r="AQY2" t="s">
        <v>32</v>
      </c>
      <c r="AQZ2" t="s">
        <v>34</v>
      </c>
      <c r="ARA2" t="s">
        <v>36</v>
      </c>
      <c r="ARB2" t="s">
        <v>9</v>
      </c>
      <c r="ARC2" t="s">
        <v>12</v>
      </c>
      <c r="ARD2" t="s">
        <v>15</v>
      </c>
      <c r="ARE2" t="s">
        <v>18</v>
      </c>
      <c r="ARF2" t="s">
        <v>21</v>
      </c>
      <c r="ARG2" t="s">
        <v>24</v>
      </c>
      <c r="ARH2" t="s">
        <v>27</v>
      </c>
      <c r="ARI2" t="s">
        <v>30</v>
      </c>
      <c r="ARJ2" t="s">
        <v>32</v>
      </c>
      <c r="ARK2" t="s">
        <v>34</v>
      </c>
      <c r="ARL2" t="s">
        <v>36</v>
      </c>
      <c r="ARM2" t="s">
        <v>9</v>
      </c>
      <c r="ARN2" t="s">
        <v>12</v>
      </c>
      <c r="ARO2" t="s">
        <v>15</v>
      </c>
      <c r="ARP2" t="s">
        <v>18</v>
      </c>
      <c r="ARQ2" t="s">
        <v>21</v>
      </c>
      <c r="ARR2" t="s">
        <v>24</v>
      </c>
      <c r="ARS2" t="s">
        <v>27</v>
      </c>
      <c r="ART2" t="s">
        <v>30</v>
      </c>
      <c r="ARU2" t="s">
        <v>32</v>
      </c>
      <c r="ARV2" t="s">
        <v>34</v>
      </c>
      <c r="ARW2" t="s">
        <v>36</v>
      </c>
      <c r="ARX2" t="s">
        <v>9</v>
      </c>
      <c r="ARY2" t="s">
        <v>12</v>
      </c>
      <c r="ARZ2" t="s">
        <v>15</v>
      </c>
      <c r="ASA2" t="s">
        <v>18</v>
      </c>
      <c r="ASB2" t="s">
        <v>21</v>
      </c>
      <c r="ASC2" t="s">
        <v>24</v>
      </c>
      <c r="ASD2" t="s">
        <v>27</v>
      </c>
      <c r="ASE2" t="s">
        <v>30</v>
      </c>
      <c r="ASF2" t="s">
        <v>32</v>
      </c>
      <c r="ASG2" t="s">
        <v>34</v>
      </c>
      <c r="ASH2" t="s">
        <v>36</v>
      </c>
      <c r="ASI2" t="s">
        <v>9</v>
      </c>
      <c r="ASJ2" t="s">
        <v>12</v>
      </c>
      <c r="ASK2" t="s">
        <v>15</v>
      </c>
      <c r="ASL2" t="s">
        <v>18</v>
      </c>
      <c r="ASM2" t="s">
        <v>21</v>
      </c>
      <c r="ASN2" t="s">
        <v>24</v>
      </c>
      <c r="ASO2" t="s">
        <v>27</v>
      </c>
      <c r="ASP2" t="s">
        <v>30</v>
      </c>
      <c r="ASQ2" t="s">
        <v>32</v>
      </c>
      <c r="ASR2" t="s">
        <v>34</v>
      </c>
      <c r="ASS2" t="s">
        <v>36</v>
      </c>
      <c r="AST2" t="s">
        <v>9</v>
      </c>
      <c r="ASU2" t="s">
        <v>12</v>
      </c>
      <c r="ASV2" t="s">
        <v>15</v>
      </c>
      <c r="ASW2" t="s">
        <v>18</v>
      </c>
      <c r="ASX2" t="s">
        <v>21</v>
      </c>
      <c r="ASY2" t="s">
        <v>24</v>
      </c>
      <c r="ASZ2" t="s">
        <v>27</v>
      </c>
      <c r="ATA2" t="s">
        <v>30</v>
      </c>
      <c r="ATB2" t="s">
        <v>32</v>
      </c>
      <c r="ATC2" t="s">
        <v>34</v>
      </c>
      <c r="ATD2" t="s">
        <v>36</v>
      </c>
      <c r="ATE2" t="s">
        <v>9</v>
      </c>
      <c r="ATF2" t="s">
        <v>12</v>
      </c>
      <c r="ATG2" t="s">
        <v>15</v>
      </c>
      <c r="ATH2" t="s">
        <v>18</v>
      </c>
      <c r="ATI2" t="s">
        <v>21</v>
      </c>
      <c r="ATJ2" t="s">
        <v>24</v>
      </c>
      <c r="ATK2" t="s">
        <v>27</v>
      </c>
      <c r="ATL2" t="s">
        <v>30</v>
      </c>
      <c r="ATM2" t="s">
        <v>32</v>
      </c>
      <c r="ATN2" t="s">
        <v>34</v>
      </c>
      <c r="ATO2" t="s">
        <v>36</v>
      </c>
      <c r="ATP2" t="s">
        <v>9</v>
      </c>
      <c r="ATQ2" t="s">
        <v>12</v>
      </c>
      <c r="ATR2" t="s">
        <v>15</v>
      </c>
      <c r="ATS2" t="s">
        <v>18</v>
      </c>
      <c r="ATT2" t="s">
        <v>21</v>
      </c>
      <c r="ATU2" t="s">
        <v>24</v>
      </c>
      <c r="ATV2" t="s">
        <v>27</v>
      </c>
      <c r="ATW2" t="s">
        <v>30</v>
      </c>
      <c r="ATX2" t="s">
        <v>32</v>
      </c>
      <c r="ATY2" t="s">
        <v>34</v>
      </c>
      <c r="ATZ2" t="s">
        <v>36</v>
      </c>
      <c r="AUA2" t="s">
        <v>9</v>
      </c>
      <c r="AUB2" t="s">
        <v>12</v>
      </c>
      <c r="AUC2" t="s">
        <v>15</v>
      </c>
      <c r="AUD2" t="s">
        <v>18</v>
      </c>
      <c r="AUE2" t="s">
        <v>21</v>
      </c>
      <c r="AUF2" t="s">
        <v>24</v>
      </c>
      <c r="AUG2" t="s">
        <v>27</v>
      </c>
      <c r="AUH2" t="s">
        <v>30</v>
      </c>
      <c r="AUI2" t="s">
        <v>32</v>
      </c>
      <c r="AUJ2" t="s">
        <v>34</v>
      </c>
      <c r="AUK2" t="s">
        <v>36</v>
      </c>
      <c r="AUL2" t="s">
        <v>9</v>
      </c>
      <c r="AUM2" t="s">
        <v>12</v>
      </c>
      <c r="AUN2" t="s">
        <v>15</v>
      </c>
      <c r="AUO2" t="s">
        <v>18</v>
      </c>
      <c r="AUP2" t="s">
        <v>21</v>
      </c>
      <c r="AUQ2" t="s">
        <v>24</v>
      </c>
      <c r="AUR2" t="s">
        <v>27</v>
      </c>
      <c r="AUS2" t="s">
        <v>30</v>
      </c>
      <c r="AUT2" t="s">
        <v>32</v>
      </c>
      <c r="AUU2" t="s">
        <v>34</v>
      </c>
      <c r="AUV2" t="s">
        <v>36</v>
      </c>
      <c r="AUW2" t="s">
        <v>9</v>
      </c>
      <c r="AUX2" t="s">
        <v>12</v>
      </c>
      <c r="AUY2" t="s">
        <v>15</v>
      </c>
      <c r="AUZ2" t="s">
        <v>18</v>
      </c>
      <c r="AVA2" t="s">
        <v>21</v>
      </c>
      <c r="AVB2" t="s">
        <v>24</v>
      </c>
      <c r="AVC2" t="s">
        <v>27</v>
      </c>
      <c r="AVD2" t="s">
        <v>30</v>
      </c>
      <c r="AVE2" t="s">
        <v>32</v>
      </c>
      <c r="AVF2" t="s">
        <v>34</v>
      </c>
      <c r="AVG2" t="s">
        <v>36</v>
      </c>
      <c r="AVH2" t="s">
        <v>9</v>
      </c>
      <c r="AVI2" t="s">
        <v>12</v>
      </c>
      <c r="AVJ2" t="s">
        <v>15</v>
      </c>
      <c r="AVK2" t="s">
        <v>18</v>
      </c>
      <c r="AVL2" t="s">
        <v>21</v>
      </c>
      <c r="AVM2" t="s">
        <v>24</v>
      </c>
      <c r="AVN2" t="s">
        <v>27</v>
      </c>
      <c r="AVO2" t="s">
        <v>30</v>
      </c>
      <c r="AVP2" t="s">
        <v>32</v>
      </c>
      <c r="AVQ2" t="s">
        <v>34</v>
      </c>
      <c r="AVR2" t="s">
        <v>36</v>
      </c>
      <c r="AVS2" t="s">
        <v>9</v>
      </c>
      <c r="AVT2" t="s">
        <v>12</v>
      </c>
      <c r="AVU2" t="s">
        <v>15</v>
      </c>
      <c r="AVV2" t="s">
        <v>18</v>
      </c>
      <c r="AVW2" t="s">
        <v>21</v>
      </c>
      <c r="AVX2" t="s">
        <v>24</v>
      </c>
      <c r="AVY2" t="s">
        <v>27</v>
      </c>
      <c r="AVZ2" t="s">
        <v>30</v>
      </c>
      <c r="AWA2" t="s">
        <v>32</v>
      </c>
      <c r="AWB2" t="s">
        <v>34</v>
      </c>
      <c r="AWC2" t="s">
        <v>36</v>
      </c>
      <c r="AWD2" t="s">
        <v>9</v>
      </c>
      <c r="AWE2" t="s">
        <v>12</v>
      </c>
      <c r="AWF2" t="s">
        <v>15</v>
      </c>
      <c r="AWG2" t="s">
        <v>18</v>
      </c>
      <c r="AWH2" t="s">
        <v>21</v>
      </c>
      <c r="AWI2" t="s">
        <v>24</v>
      </c>
      <c r="AWJ2" t="s">
        <v>27</v>
      </c>
      <c r="AWK2" t="s">
        <v>30</v>
      </c>
      <c r="AWL2" t="s">
        <v>32</v>
      </c>
      <c r="AWM2" t="s">
        <v>34</v>
      </c>
      <c r="AWN2" t="s">
        <v>36</v>
      </c>
      <c r="AWO2" t="s">
        <v>9</v>
      </c>
      <c r="AWP2" t="s">
        <v>12</v>
      </c>
      <c r="AWQ2" t="s">
        <v>15</v>
      </c>
      <c r="AWR2" t="s">
        <v>18</v>
      </c>
      <c r="AWS2" t="s">
        <v>21</v>
      </c>
      <c r="AWT2" t="s">
        <v>24</v>
      </c>
      <c r="AWU2" t="s">
        <v>27</v>
      </c>
      <c r="AWV2" t="s">
        <v>30</v>
      </c>
      <c r="AWW2" t="s">
        <v>32</v>
      </c>
      <c r="AWX2" t="s">
        <v>34</v>
      </c>
      <c r="AWY2" t="s">
        <v>36</v>
      </c>
      <c r="AWZ2" t="s">
        <v>9</v>
      </c>
      <c r="AXA2" t="s">
        <v>12</v>
      </c>
      <c r="AXB2" t="s">
        <v>15</v>
      </c>
      <c r="AXC2" t="s">
        <v>18</v>
      </c>
      <c r="AXD2" t="s">
        <v>21</v>
      </c>
      <c r="AXE2" t="s">
        <v>24</v>
      </c>
      <c r="AXF2" t="s">
        <v>27</v>
      </c>
      <c r="AXG2" t="s">
        <v>30</v>
      </c>
      <c r="AXH2" t="s">
        <v>32</v>
      </c>
      <c r="AXI2" t="s">
        <v>34</v>
      </c>
      <c r="AXJ2" t="s">
        <v>36</v>
      </c>
      <c r="AXK2" t="s">
        <v>9</v>
      </c>
      <c r="AXL2" t="s">
        <v>12</v>
      </c>
      <c r="AXM2" t="s">
        <v>15</v>
      </c>
      <c r="AXN2" t="s">
        <v>18</v>
      </c>
      <c r="AXO2" t="s">
        <v>21</v>
      </c>
      <c r="AXP2" t="s">
        <v>24</v>
      </c>
      <c r="AXQ2" t="s">
        <v>27</v>
      </c>
      <c r="AXR2" t="s">
        <v>30</v>
      </c>
      <c r="AXS2" t="s">
        <v>32</v>
      </c>
      <c r="AXT2" t="s">
        <v>34</v>
      </c>
      <c r="AXU2" t="s">
        <v>36</v>
      </c>
      <c r="AXV2" t="s">
        <v>9</v>
      </c>
      <c r="AXW2" t="s">
        <v>12</v>
      </c>
      <c r="AXX2" t="s">
        <v>15</v>
      </c>
      <c r="AXY2" t="s">
        <v>18</v>
      </c>
      <c r="AXZ2" t="s">
        <v>21</v>
      </c>
      <c r="AYA2" t="s">
        <v>24</v>
      </c>
      <c r="AYB2" t="s">
        <v>27</v>
      </c>
      <c r="AYC2" t="s">
        <v>30</v>
      </c>
      <c r="AYD2" t="s">
        <v>32</v>
      </c>
      <c r="AYE2" t="s">
        <v>34</v>
      </c>
      <c r="AYF2" t="s">
        <v>36</v>
      </c>
      <c r="AYG2" t="s">
        <v>9</v>
      </c>
      <c r="AYH2" t="s">
        <v>12</v>
      </c>
      <c r="AYI2" t="s">
        <v>15</v>
      </c>
      <c r="AYJ2" t="s">
        <v>18</v>
      </c>
      <c r="AYK2" t="s">
        <v>21</v>
      </c>
      <c r="AYL2" t="s">
        <v>24</v>
      </c>
      <c r="AYM2" t="s">
        <v>27</v>
      </c>
      <c r="AYN2" t="s">
        <v>30</v>
      </c>
      <c r="AYO2" t="s">
        <v>32</v>
      </c>
      <c r="AYP2" t="s">
        <v>34</v>
      </c>
      <c r="AYQ2" t="s">
        <v>36</v>
      </c>
      <c r="AYR2" t="s">
        <v>9</v>
      </c>
      <c r="AYS2" t="s">
        <v>12</v>
      </c>
      <c r="AYT2" t="s">
        <v>15</v>
      </c>
      <c r="AYU2" t="s">
        <v>18</v>
      </c>
      <c r="AYV2" t="s">
        <v>21</v>
      </c>
      <c r="AYW2" t="s">
        <v>24</v>
      </c>
      <c r="AYX2" t="s">
        <v>27</v>
      </c>
      <c r="AYY2" t="s">
        <v>30</v>
      </c>
      <c r="AYZ2" t="s">
        <v>32</v>
      </c>
      <c r="AZA2" t="s">
        <v>34</v>
      </c>
      <c r="AZB2" t="s">
        <v>36</v>
      </c>
      <c r="AZC2" t="s">
        <v>9</v>
      </c>
      <c r="AZD2" t="s">
        <v>12</v>
      </c>
      <c r="AZE2" t="s">
        <v>15</v>
      </c>
      <c r="AZF2" t="s">
        <v>18</v>
      </c>
      <c r="AZG2" t="s">
        <v>21</v>
      </c>
      <c r="AZH2" t="s">
        <v>24</v>
      </c>
      <c r="AZI2" t="s">
        <v>27</v>
      </c>
      <c r="AZJ2" t="s">
        <v>30</v>
      </c>
      <c r="AZK2" t="s">
        <v>32</v>
      </c>
      <c r="AZL2" t="s">
        <v>34</v>
      </c>
      <c r="AZM2" t="s">
        <v>36</v>
      </c>
      <c r="AZN2" t="s">
        <v>9</v>
      </c>
      <c r="AZO2" t="s">
        <v>12</v>
      </c>
      <c r="AZP2" t="s">
        <v>15</v>
      </c>
      <c r="AZQ2" t="s">
        <v>18</v>
      </c>
      <c r="AZR2" t="s">
        <v>21</v>
      </c>
      <c r="AZS2" t="s">
        <v>24</v>
      </c>
      <c r="AZT2" t="s">
        <v>27</v>
      </c>
      <c r="AZU2" t="s">
        <v>30</v>
      </c>
      <c r="AZV2" t="s">
        <v>32</v>
      </c>
      <c r="AZW2" t="s">
        <v>34</v>
      </c>
      <c r="AZX2" t="s">
        <v>36</v>
      </c>
      <c r="AZY2" t="s">
        <v>9</v>
      </c>
      <c r="AZZ2" t="s">
        <v>12</v>
      </c>
      <c r="BAA2" t="s">
        <v>15</v>
      </c>
      <c r="BAB2" t="s">
        <v>18</v>
      </c>
      <c r="BAC2" t="s">
        <v>21</v>
      </c>
      <c r="BAD2" t="s">
        <v>24</v>
      </c>
      <c r="BAE2" t="s">
        <v>27</v>
      </c>
      <c r="BAF2" t="s">
        <v>30</v>
      </c>
      <c r="BAG2" t="s">
        <v>32</v>
      </c>
      <c r="BAH2" t="s">
        <v>34</v>
      </c>
      <c r="BAI2" t="s">
        <v>36</v>
      </c>
      <c r="BAJ2" t="s">
        <v>9</v>
      </c>
      <c r="BAK2" t="s">
        <v>12</v>
      </c>
      <c r="BAL2" t="s">
        <v>15</v>
      </c>
      <c r="BAM2" t="s">
        <v>18</v>
      </c>
      <c r="BAN2" t="s">
        <v>21</v>
      </c>
      <c r="BAO2" t="s">
        <v>24</v>
      </c>
      <c r="BAP2" t="s">
        <v>27</v>
      </c>
      <c r="BAQ2" t="s">
        <v>30</v>
      </c>
      <c r="BAR2" t="s">
        <v>32</v>
      </c>
      <c r="BAS2" t="s">
        <v>34</v>
      </c>
      <c r="BAT2" t="s">
        <v>36</v>
      </c>
      <c r="BAU2" t="s">
        <v>9</v>
      </c>
      <c r="BAV2" t="s">
        <v>12</v>
      </c>
      <c r="BAW2" t="s">
        <v>15</v>
      </c>
      <c r="BAX2" t="s">
        <v>18</v>
      </c>
      <c r="BAY2" t="s">
        <v>21</v>
      </c>
      <c r="BAZ2" t="s">
        <v>24</v>
      </c>
      <c r="BBA2" t="s">
        <v>27</v>
      </c>
      <c r="BBB2" t="s">
        <v>30</v>
      </c>
      <c r="BBC2" t="s">
        <v>32</v>
      </c>
      <c r="BBD2" t="s">
        <v>34</v>
      </c>
      <c r="BBE2" t="s">
        <v>36</v>
      </c>
      <c r="BBF2" t="s">
        <v>9</v>
      </c>
      <c r="BBG2" t="s">
        <v>12</v>
      </c>
      <c r="BBH2" t="s">
        <v>15</v>
      </c>
      <c r="BBI2" t="s">
        <v>18</v>
      </c>
      <c r="BBJ2" t="s">
        <v>21</v>
      </c>
      <c r="BBK2" t="s">
        <v>24</v>
      </c>
      <c r="BBL2" t="s">
        <v>27</v>
      </c>
      <c r="BBM2" t="s">
        <v>30</v>
      </c>
      <c r="BBN2" t="s">
        <v>32</v>
      </c>
      <c r="BBO2" t="s">
        <v>34</v>
      </c>
      <c r="BBP2" t="s">
        <v>36</v>
      </c>
      <c r="BBQ2" t="s">
        <v>9</v>
      </c>
      <c r="BBR2" t="s">
        <v>12</v>
      </c>
      <c r="BBS2" t="s">
        <v>15</v>
      </c>
      <c r="BBT2" t="s">
        <v>18</v>
      </c>
      <c r="BBU2" t="s">
        <v>21</v>
      </c>
      <c r="BBV2" t="s">
        <v>24</v>
      </c>
      <c r="BBW2" t="s">
        <v>27</v>
      </c>
      <c r="BBX2" t="s">
        <v>30</v>
      </c>
      <c r="BBY2" t="s">
        <v>32</v>
      </c>
      <c r="BBZ2" t="s">
        <v>34</v>
      </c>
      <c r="BCA2" t="s">
        <v>36</v>
      </c>
      <c r="BCB2" t="s">
        <v>9</v>
      </c>
      <c r="BCC2" t="s">
        <v>12</v>
      </c>
      <c r="BCD2" t="s">
        <v>15</v>
      </c>
      <c r="BCE2" t="s">
        <v>18</v>
      </c>
      <c r="BCF2" t="s">
        <v>21</v>
      </c>
      <c r="BCG2" t="s">
        <v>24</v>
      </c>
      <c r="BCH2" t="s">
        <v>27</v>
      </c>
      <c r="BCI2" t="s">
        <v>30</v>
      </c>
      <c r="BCJ2" t="s">
        <v>32</v>
      </c>
      <c r="BCK2" t="s">
        <v>34</v>
      </c>
      <c r="BCL2" t="s">
        <v>36</v>
      </c>
      <c r="BCM2" t="s">
        <v>9</v>
      </c>
      <c r="BCN2" t="s">
        <v>12</v>
      </c>
      <c r="BCO2" t="s">
        <v>15</v>
      </c>
      <c r="BCP2" t="s">
        <v>18</v>
      </c>
      <c r="BCQ2" t="s">
        <v>21</v>
      </c>
      <c r="BCR2" t="s">
        <v>24</v>
      </c>
      <c r="BCS2" t="s">
        <v>27</v>
      </c>
      <c r="BCT2" t="s">
        <v>30</v>
      </c>
      <c r="BCU2" t="s">
        <v>32</v>
      </c>
      <c r="BCV2" t="s">
        <v>34</v>
      </c>
      <c r="BCW2" t="s">
        <v>36</v>
      </c>
      <c r="BCX2" t="s">
        <v>9</v>
      </c>
      <c r="BCY2" t="s">
        <v>12</v>
      </c>
      <c r="BCZ2" t="s">
        <v>15</v>
      </c>
      <c r="BDA2" t="s">
        <v>18</v>
      </c>
      <c r="BDB2" t="s">
        <v>21</v>
      </c>
      <c r="BDC2" t="s">
        <v>24</v>
      </c>
      <c r="BDD2" t="s">
        <v>27</v>
      </c>
      <c r="BDE2" t="s">
        <v>30</v>
      </c>
      <c r="BDF2" t="s">
        <v>32</v>
      </c>
      <c r="BDG2" t="s">
        <v>34</v>
      </c>
      <c r="BDH2" t="s">
        <v>36</v>
      </c>
      <c r="BDI2" t="s">
        <v>9</v>
      </c>
      <c r="BDJ2" t="s">
        <v>12</v>
      </c>
      <c r="BDK2" t="s">
        <v>15</v>
      </c>
      <c r="BDL2" t="s">
        <v>18</v>
      </c>
      <c r="BDM2" t="s">
        <v>21</v>
      </c>
      <c r="BDN2" t="s">
        <v>24</v>
      </c>
      <c r="BDO2" t="s">
        <v>27</v>
      </c>
      <c r="BDP2" t="s">
        <v>30</v>
      </c>
      <c r="BDQ2" t="s">
        <v>32</v>
      </c>
      <c r="BDR2" t="s">
        <v>34</v>
      </c>
      <c r="BDS2" t="s">
        <v>36</v>
      </c>
      <c r="BDT2" t="s">
        <v>9</v>
      </c>
      <c r="BDU2" t="s">
        <v>12</v>
      </c>
      <c r="BDV2" t="s">
        <v>15</v>
      </c>
      <c r="BDW2" t="s">
        <v>18</v>
      </c>
      <c r="BDX2" t="s">
        <v>21</v>
      </c>
      <c r="BDY2" t="s">
        <v>24</v>
      </c>
      <c r="BDZ2" t="s">
        <v>27</v>
      </c>
      <c r="BEA2" t="s">
        <v>30</v>
      </c>
      <c r="BEB2" t="s">
        <v>32</v>
      </c>
      <c r="BEC2" t="s">
        <v>34</v>
      </c>
      <c r="BED2" t="s">
        <v>36</v>
      </c>
      <c r="BEE2" t="s">
        <v>9</v>
      </c>
      <c r="BEF2" t="s">
        <v>12</v>
      </c>
      <c r="BEG2" t="s">
        <v>15</v>
      </c>
      <c r="BEH2" t="s">
        <v>18</v>
      </c>
      <c r="BEI2" t="s">
        <v>21</v>
      </c>
      <c r="BEJ2" t="s">
        <v>24</v>
      </c>
      <c r="BEK2" t="s">
        <v>27</v>
      </c>
      <c r="BEL2" t="s">
        <v>30</v>
      </c>
      <c r="BEM2" t="s">
        <v>32</v>
      </c>
      <c r="BEN2" t="s">
        <v>34</v>
      </c>
      <c r="BEO2" t="s">
        <v>36</v>
      </c>
      <c r="BEP2" t="s">
        <v>9</v>
      </c>
      <c r="BEQ2" t="s">
        <v>12</v>
      </c>
      <c r="BER2" t="s">
        <v>15</v>
      </c>
      <c r="BES2" t="s">
        <v>18</v>
      </c>
      <c r="BET2" t="s">
        <v>21</v>
      </c>
      <c r="BEU2" t="s">
        <v>24</v>
      </c>
      <c r="BEV2" t="s">
        <v>27</v>
      </c>
      <c r="BEW2" t="s">
        <v>30</v>
      </c>
      <c r="BEX2" t="s">
        <v>32</v>
      </c>
      <c r="BEY2" t="s">
        <v>34</v>
      </c>
      <c r="BEZ2" t="s">
        <v>36</v>
      </c>
      <c r="BFA2" t="s">
        <v>9</v>
      </c>
      <c r="BFB2" t="s">
        <v>12</v>
      </c>
      <c r="BFC2" t="s">
        <v>15</v>
      </c>
      <c r="BFD2" t="s">
        <v>18</v>
      </c>
      <c r="BFE2" t="s">
        <v>21</v>
      </c>
      <c r="BFF2" t="s">
        <v>24</v>
      </c>
      <c r="BFG2" t="s">
        <v>27</v>
      </c>
      <c r="BFH2" t="s">
        <v>30</v>
      </c>
      <c r="BFI2" t="s">
        <v>32</v>
      </c>
      <c r="BFJ2" t="s">
        <v>34</v>
      </c>
      <c r="BFK2" t="s">
        <v>36</v>
      </c>
      <c r="BFL2" t="s">
        <v>9</v>
      </c>
      <c r="BFM2" t="s">
        <v>12</v>
      </c>
      <c r="BFN2" t="s">
        <v>15</v>
      </c>
      <c r="BFO2" t="s">
        <v>18</v>
      </c>
      <c r="BFP2" t="s">
        <v>21</v>
      </c>
      <c r="BFQ2" t="s">
        <v>24</v>
      </c>
      <c r="BFR2" t="s">
        <v>27</v>
      </c>
      <c r="BFS2" t="s">
        <v>30</v>
      </c>
      <c r="BFT2" t="s">
        <v>32</v>
      </c>
      <c r="BFU2" t="s">
        <v>34</v>
      </c>
      <c r="BFV2" t="s">
        <v>36</v>
      </c>
      <c r="BFW2" t="s">
        <v>9</v>
      </c>
      <c r="BFX2" t="s">
        <v>12</v>
      </c>
      <c r="BFY2" t="s">
        <v>15</v>
      </c>
      <c r="BFZ2" t="s">
        <v>18</v>
      </c>
      <c r="BGA2" t="s">
        <v>21</v>
      </c>
      <c r="BGB2" t="s">
        <v>24</v>
      </c>
      <c r="BGC2" t="s">
        <v>27</v>
      </c>
      <c r="BGD2" t="s">
        <v>30</v>
      </c>
      <c r="BGE2" t="s">
        <v>32</v>
      </c>
      <c r="BGF2" t="s">
        <v>34</v>
      </c>
      <c r="BGG2" t="s">
        <v>36</v>
      </c>
      <c r="BGH2" t="s">
        <v>9</v>
      </c>
      <c r="BGI2" t="s">
        <v>12</v>
      </c>
      <c r="BGJ2" t="s">
        <v>15</v>
      </c>
      <c r="BGK2" t="s">
        <v>18</v>
      </c>
      <c r="BGL2" t="s">
        <v>21</v>
      </c>
      <c r="BGM2" t="s">
        <v>24</v>
      </c>
      <c r="BGN2" t="s">
        <v>27</v>
      </c>
      <c r="BGO2" t="s">
        <v>30</v>
      </c>
      <c r="BGP2" t="s">
        <v>32</v>
      </c>
      <c r="BGQ2" t="s">
        <v>34</v>
      </c>
      <c r="BGR2" t="s">
        <v>36</v>
      </c>
      <c r="BGS2" t="s">
        <v>9</v>
      </c>
      <c r="BGT2" t="s">
        <v>12</v>
      </c>
      <c r="BGU2" t="s">
        <v>15</v>
      </c>
      <c r="BGV2" t="s">
        <v>18</v>
      </c>
      <c r="BGW2" t="s">
        <v>21</v>
      </c>
      <c r="BGX2" t="s">
        <v>24</v>
      </c>
      <c r="BGY2" t="s">
        <v>27</v>
      </c>
      <c r="BGZ2" t="s">
        <v>30</v>
      </c>
      <c r="BHA2" t="s">
        <v>32</v>
      </c>
      <c r="BHB2" t="s">
        <v>34</v>
      </c>
      <c r="BHC2" t="s">
        <v>36</v>
      </c>
      <c r="BHD2" t="s">
        <v>9</v>
      </c>
      <c r="BHE2" t="s">
        <v>12</v>
      </c>
      <c r="BHF2" t="s">
        <v>15</v>
      </c>
      <c r="BHG2" t="s">
        <v>18</v>
      </c>
      <c r="BHH2" t="s">
        <v>21</v>
      </c>
      <c r="BHI2" t="s">
        <v>24</v>
      </c>
      <c r="BHJ2" t="s">
        <v>27</v>
      </c>
      <c r="BHK2" t="s">
        <v>30</v>
      </c>
      <c r="BHL2" t="s">
        <v>32</v>
      </c>
      <c r="BHM2" t="s">
        <v>34</v>
      </c>
      <c r="BHN2" t="s">
        <v>36</v>
      </c>
      <c r="BHO2" t="s">
        <v>9</v>
      </c>
      <c r="BHP2" t="s">
        <v>12</v>
      </c>
      <c r="BHQ2" t="s">
        <v>15</v>
      </c>
      <c r="BHR2" t="s">
        <v>18</v>
      </c>
      <c r="BHS2" t="s">
        <v>21</v>
      </c>
      <c r="BHT2" t="s">
        <v>24</v>
      </c>
      <c r="BHU2" t="s">
        <v>27</v>
      </c>
      <c r="BHV2" t="s">
        <v>30</v>
      </c>
      <c r="BHW2" t="s">
        <v>32</v>
      </c>
      <c r="BHX2" t="s">
        <v>34</v>
      </c>
      <c r="BHY2" t="s">
        <v>36</v>
      </c>
    </row>
    <row r="3" spans="1:1585" x14ac:dyDescent="0.3">
      <c r="A3" t="s">
        <v>195</v>
      </c>
      <c r="B3">
        <v>0</v>
      </c>
      <c r="C3">
        <v>0</v>
      </c>
      <c r="D3">
        <v>275.5</v>
      </c>
      <c r="E3">
        <v>20</v>
      </c>
      <c r="F3">
        <v>3</v>
      </c>
      <c r="G3">
        <v>23</v>
      </c>
      <c r="H3">
        <v>5</v>
      </c>
      <c r="I3" s="7">
        <v>10</v>
      </c>
      <c r="J3">
        <v>12</v>
      </c>
      <c r="K3">
        <v>10</v>
      </c>
      <c r="L3">
        <v>11</v>
      </c>
      <c r="M3">
        <v>0</v>
      </c>
      <c r="N3">
        <v>0</v>
      </c>
      <c r="O3">
        <v>275.5</v>
      </c>
      <c r="P3">
        <v>20</v>
      </c>
      <c r="Q3">
        <v>3</v>
      </c>
      <c r="R3">
        <v>24</v>
      </c>
      <c r="S3">
        <v>5</v>
      </c>
      <c r="T3">
        <v>10</v>
      </c>
      <c r="U3">
        <v>12</v>
      </c>
      <c r="V3">
        <v>10</v>
      </c>
      <c r="W3">
        <v>11</v>
      </c>
      <c r="X3">
        <v>0</v>
      </c>
      <c r="Y3">
        <v>0</v>
      </c>
      <c r="Z3">
        <v>275.5</v>
      </c>
      <c r="AA3">
        <v>20</v>
      </c>
      <c r="AB3">
        <v>3</v>
      </c>
      <c r="AC3">
        <v>25</v>
      </c>
      <c r="AD3">
        <v>5</v>
      </c>
      <c r="AE3">
        <v>10</v>
      </c>
      <c r="AF3">
        <v>12</v>
      </c>
      <c r="AG3">
        <v>10</v>
      </c>
      <c r="AH3">
        <v>11</v>
      </c>
      <c r="AI3">
        <v>0</v>
      </c>
      <c r="AJ3">
        <v>0</v>
      </c>
      <c r="AK3">
        <v>275.5</v>
      </c>
      <c r="AL3">
        <v>21</v>
      </c>
      <c r="AM3">
        <v>3</v>
      </c>
      <c r="AN3">
        <v>23</v>
      </c>
      <c r="AO3">
        <v>5</v>
      </c>
      <c r="AP3">
        <v>10</v>
      </c>
      <c r="AQ3">
        <v>12</v>
      </c>
      <c r="AR3">
        <v>10</v>
      </c>
      <c r="AS3">
        <v>11</v>
      </c>
      <c r="AT3">
        <v>0</v>
      </c>
      <c r="AU3">
        <v>0</v>
      </c>
      <c r="AV3">
        <v>275.5</v>
      </c>
      <c r="AW3">
        <v>21</v>
      </c>
      <c r="AX3">
        <v>3</v>
      </c>
      <c r="AY3">
        <v>24</v>
      </c>
      <c r="AZ3">
        <v>5</v>
      </c>
      <c r="BA3">
        <v>10</v>
      </c>
      <c r="BB3">
        <v>12</v>
      </c>
      <c r="BC3">
        <v>10</v>
      </c>
      <c r="BD3">
        <v>11</v>
      </c>
      <c r="BE3">
        <v>0</v>
      </c>
      <c r="BF3">
        <v>0</v>
      </c>
      <c r="BG3">
        <v>275.5</v>
      </c>
      <c r="BH3">
        <v>21</v>
      </c>
      <c r="BI3">
        <v>3</v>
      </c>
      <c r="BJ3">
        <v>25</v>
      </c>
      <c r="BK3">
        <v>5</v>
      </c>
      <c r="BL3">
        <v>10</v>
      </c>
      <c r="BM3">
        <v>12</v>
      </c>
      <c r="BN3">
        <v>10</v>
      </c>
      <c r="BO3">
        <v>11</v>
      </c>
      <c r="BP3">
        <v>0</v>
      </c>
      <c r="BQ3">
        <v>0</v>
      </c>
      <c r="BR3">
        <v>275.5</v>
      </c>
      <c r="BS3">
        <v>22</v>
      </c>
      <c r="BT3">
        <v>3</v>
      </c>
      <c r="BU3">
        <v>23</v>
      </c>
      <c r="BV3">
        <v>5</v>
      </c>
      <c r="BW3">
        <v>10</v>
      </c>
      <c r="BX3">
        <v>12</v>
      </c>
      <c r="BY3">
        <v>10</v>
      </c>
      <c r="BZ3">
        <v>11</v>
      </c>
      <c r="CA3">
        <v>0</v>
      </c>
      <c r="CB3">
        <v>0</v>
      </c>
      <c r="CC3">
        <v>275.5</v>
      </c>
      <c r="CD3">
        <v>22</v>
      </c>
      <c r="CE3">
        <v>3</v>
      </c>
      <c r="CF3">
        <v>24</v>
      </c>
      <c r="CG3">
        <v>5</v>
      </c>
      <c r="CH3">
        <v>10</v>
      </c>
      <c r="CI3">
        <v>12</v>
      </c>
      <c r="CJ3">
        <v>10</v>
      </c>
      <c r="CK3">
        <v>11</v>
      </c>
      <c r="CL3">
        <v>0</v>
      </c>
      <c r="CM3">
        <v>0</v>
      </c>
      <c r="CN3">
        <v>275.5</v>
      </c>
      <c r="CO3">
        <v>22</v>
      </c>
      <c r="CP3">
        <v>3</v>
      </c>
      <c r="CQ3">
        <v>25</v>
      </c>
      <c r="CR3">
        <v>5</v>
      </c>
      <c r="CS3">
        <v>10</v>
      </c>
      <c r="CT3">
        <v>12</v>
      </c>
      <c r="CU3">
        <v>10</v>
      </c>
      <c r="CV3">
        <v>11</v>
      </c>
      <c r="CW3">
        <v>0</v>
      </c>
      <c r="CX3">
        <v>0</v>
      </c>
      <c r="CY3">
        <v>1077</v>
      </c>
      <c r="CZ3">
        <v>20</v>
      </c>
      <c r="DA3">
        <v>3</v>
      </c>
      <c r="DB3">
        <v>23</v>
      </c>
      <c r="DC3">
        <v>5</v>
      </c>
      <c r="DD3">
        <v>40</v>
      </c>
      <c r="DE3">
        <v>15</v>
      </c>
      <c r="DF3">
        <v>40</v>
      </c>
      <c r="DG3">
        <v>15</v>
      </c>
      <c r="DH3">
        <v>0</v>
      </c>
      <c r="DI3">
        <v>0</v>
      </c>
      <c r="DJ3">
        <v>1077</v>
      </c>
      <c r="DK3">
        <v>20</v>
      </c>
      <c r="DL3">
        <v>3</v>
      </c>
      <c r="DM3">
        <v>24</v>
      </c>
      <c r="DN3">
        <v>5</v>
      </c>
      <c r="DO3">
        <v>40</v>
      </c>
      <c r="DP3">
        <v>15</v>
      </c>
      <c r="DQ3">
        <v>40</v>
      </c>
      <c r="DR3">
        <v>15</v>
      </c>
      <c r="DS3">
        <v>0</v>
      </c>
      <c r="DT3">
        <v>0</v>
      </c>
      <c r="DU3">
        <v>1077</v>
      </c>
      <c r="DV3">
        <v>20</v>
      </c>
      <c r="DW3">
        <v>3</v>
      </c>
      <c r="DX3">
        <v>25</v>
      </c>
      <c r="DY3">
        <v>5</v>
      </c>
      <c r="DZ3">
        <v>40</v>
      </c>
      <c r="EA3">
        <v>15</v>
      </c>
      <c r="EB3">
        <v>40</v>
      </c>
      <c r="EC3">
        <v>15</v>
      </c>
      <c r="ED3">
        <v>0</v>
      </c>
      <c r="EE3">
        <v>0</v>
      </c>
      <c r="EF3">
        <v>1077</v>
      </c>
      <c r="EG3">
        <v>21</v>
      </c>
      <c r="EH3">
        <v>3</v>
      </c>
      <c r="EI3">
        <v>23</v>
      </c>
      <c r="EJ3">
        <v>5</v>
      </c>
      <c r="EK3">
        <v>40</v>
      </c>
      <c r="EL3">
        <v>15</v>
      </c>
      <c r="EM3">
        <v>40</v>
      </c>
      <c r="EN3">
        <v>15</v>
      </c>
      <c r="EO3">
        <v>0</v>
      </c>
      <c r="EP3">
        <v>0</v>
      </c>
      <c r="EQ3">
        <v>1077</v>
      </c>
      <c r="ER3">
        <v>21</v>
      </c>
      <c r="ES3">
        <v>3</v>
      </c>
      <c r="ET3">
        <v>24</v>
      </c>
      <c r="EU3">
        <v>5</v>
      </c>
      <c r="EV3">
        <v>40</v>
      </c>
      <c r="EW3">
        <v>15</v>
      </c>
      <c r="EX3">
        <v>40</v>
      </c>
      <c r="EY3">
        <v>15</v>
      </c>
      <c r="EZ3">
        <v>0</v>
      </c>
      <c r="FA3">
        <v>0</v>
      </c>
      <c r="FB3">
        <v>1077</v>
      </c>
      <c r="FC3">
        <v>21</v>
      </c>
      <c r="FD3">
        <v>3</v>
      </c>
      <c r="FE3">
        <v>25</v>
      </c>
      <c r="FF3">
        <v>5</v>
      </c>
      <c r="FG3">
        <v>40</v>
      </c>
      <c r="FH3">
        <v>15</v>
      </c>
      <c r="FI3">
        <v>40</v>
      </c>
      <c r="FJ3">
        <v>15</v>
      </c>
      <c r="FK3">
        <v>0</v>
      </c>
      <c r="FL3">
        <v>0</v>
      </c>
      <c r="FM3">
        <v>1077</v>
      </c>
      <c r="FN3">
        <v>22</v>
      </c>
      <c r="FO3">
        <v>3</v>
      </c>
      <c r="FP3">
        <v>23</v>
      </c>
      <c r="FQ3">
        <v>5</v>
      </c>
      <c r="FR3">
        <v>40</v>
      </c>
      <c r="FS3">
        <v>15</v>
      </c>
      <c r="FT3">
        <v>40</v>
      </c>
      <c r="FU3">
        <v>15</v>
      </c>
      <c r="FV3">
        <v>0</v>
      </c>
      <c r="FW3">
        <v>0</v>
      </c>
      <c r="FX3">
        <v>1077</v>
      </c>
      <c r="FY3">
        <v>22</v>
      </c>
      <c r="FZ3">
        <v>3</v>
      </c>
      <c r="GA3">
        <v>24</v>
      </c>
      <c r="GB3">
        <v>5</v>
      </c>
      <c r="GC3">
        <v>40</v>
      </c>
      <c r="GD3">
        <v>15</v>
      </c>
      <c r="GE3">
        <v>40</v>
      </c>
      <c r="GF3">
        <v>15</v>
      </c>
      <c r="GG3">
        <v>0</v>
      </c>
      <c r="GH3">
        <v>0</v>
      </c>
      <c r="GI3">
        <v>1077</v>
      </c>
      <c r="GJ3">
        <v>22</v>
      </c>
      <c r="GK3">
        <v>3</v>
      </c>
      <c r="GL3">
        <v>25</v>
      </c>
      <c r="GM3">
        <v>5</v>
      </c>
      <c r="GN3">
        <v>40</v>
      </c>
      <c r="GO3">
        <v>15</v>
      </c>
      <c r="GP3">
        <v>40</v>
      </c>
      <c r="GQ3">
        <v>15</v>
      </c>
      <c r="GR3">
        <v>0</v>
      </c>
      <c r="GS3">
        <v>0</v>
      </c>
      <c r="GT3">
        <v>275.5</v>
      </c>
      <c r="GU3">
        <v>20</v>
      </c>
      <c r="GV3">
        <v>3</v>
      </c>
      <c r="GW3">
        <v>23</v>
      </c>
      <c r="GX3">
        <v>7</v>
      </c>
      <c r="GY3">
        <v>10</v>
      </c>
      <c r="GZ3">
        <v>12</v>
      </c>
      <c r="HA3">
        <v>10</v>
      </c>
      <c r="HB3">
        <v>11</v>
      </c>
      <c r="HC3">
        <v>0</v>
      </c>
      <c r="HD3">
        <v>0</v>
      </c>
      <c r="HE3">
        <v>275.5</v>
      </c>
      <c r="HF3">
        <v>20</v>
      </c>
      <c r="HG3">
        <v>3</v>
      </c>
      <c r="HH3">
        <v>24</v>
      </c>
      <c r="HI3">
        <v>7</v>
      </c>
      <c r="HJ3">
        <v>10</v>
      </c>
      <c r="HK3">
        <v>12</v>
      </c>
      <c r="HL3">
        <v>10</v>
      </c>
      <c r="HM3">
        <v>11</v>
      </c>
      <c r="HN3">
        <v>0</v>
      </c>
      <c r="HO3">
        <v>0</v>
      </c>
      <c r="HP3">
        <v>275.5</v>
      </c>
      <c r="HQ3">
        <v>20</v>
      </c>
      <c r="HR3">
        <v>3</v>
      </c>
      <c r="HS3">
        <v>25</v>
      </c>
      <c r="HT3">
        <v>7</v>
      </c>
      <c r="HU3">
        <v>10</v>
      </c>
      <c r="HV3">
        <v>12</v>
      </c>
      <c r="HW3">
        <v>10</v>
      </c>
      <c r="HX3">
        <v>11</v>
      </c>
      <c r="HY3">
        <v>0</v>
      </c>
      <c r="HZ3">
        <v>0</v>
      </c>
      <c r="IA3">
        <v>275.5</v>
      </c>
      <c r="IB3">
        <v>21</v>
      </c>
      <c r="IC3">
        <v>3</v>
      </c>
      <c r="ID3">
        <v>23</v>
      </c>
      <c r="IE3">
        <v>7</v>
      </c>
      <c r="IF3">
        <v>10</v>
      </c>
      <c r="IG3">
        <v>12</v>
      </c>
      <c r="IH3">
        <v>10</v>
      </c>
      <c r="II3">
        <v>11</v>
      </c>
      <c r="IJ3">
        <v>0</v>
      </c>
      <c r="IK3">
        <v>0</v>
      </c>
      <c r="IL3">
        <v>275.5</v>
      </c>
      <c r="IM3">
        <v>21</v>
      </c>
      <c r="IN3">
        <v>3</v>
      </c>
      <c r="IO3">
        <v>24</v>
      </c>
      <c r="IP3">
        <v>7</v>
      </c>
      <c r="IQ3">
        <v>10</v>
      </c>
      <c r="IR3">
        <v>12</v>
      </c>
      <c r="IS3">
        <v>10</v>
      </c>
      <c r="IT3">
        <v>11</v>
      </c>
      <c r="IU3">
        <v>0</v>
      </c>
      <c r="IV3">
        <v>0</v>
      </c>
      <c r="IW3">
        <v>275.5</v>
      </c>
      <c r="IX3">
        <v>21</v>
      </c>
      <c r="IY3">
        <v>3</v>
      </c>
      <c r="IZ3">
        <v>25</v>
      </c>
      <c r="JA3">
        <v>7</v>
      </c>
      <c r="JB3">
        <v>10</v>
      </c>
      <c r="JC3">
        <v>12</v>
      </c>
      <c r="JD3">
        <v>10</v>
      </c>
      <c r="JE3">
        <v>11</v>
      </c>
      <c r="JF3">
        <v>0</v>
      </c>
      <c r="JG3">
        <v>0</v>
      </c>
      <c r="JH3">
        <v>275.5</v>
      </c>
      <c r="JI3">
        <v>22</v>
      </c>
      <c r="JJ3">
        <v>3</v>
      </c>
      <c r="JK3">
        <v>23</v>
      </c>
      <c r="JL3">
        <v>7</v>
      </c>
      <c r="JM3">
        <v>10</v>
      </c>
      <c r="JN3">
        <v>12</v>
      </c>
      <c r="JO3">
        <v>10</v>
      </c>
      <c r="JP3">
        <v>11</v>
      </c>
      <c r="JQ3">
        <v>0</v>
      </c>
      <c r="JR3">
        <v>0</v>
      </c>
      <c r="JS3">
        <v>275.5</v>
      </c>
      <c r="JT3">
        <v>22</v>
      </c>
      <c r="JU3">
        <v>3</v>
      </c>
      <c r="JV3">
        <v>24</v>
      </c>
      <c r="JW3">
        <v>7</v>
      </c>
      <c r="JX3">
        <v>10</v>
      </c>
      <c r="JY3">
        <v>12</v>
      </c>
      <c r="JZ3">
        <v>10</v>
      </c>
      <c r="KA3">
        <v>11</v>
      </c>
      <c r="KB3">
        <v>0</v>
      </c>
      <c r="KC3">
        <v>0</v>
      </c>
      <c r="KD3">
        <v>275.5</v>
      </c>
      <c r="KE3">
        <v>22</v>
      </c>
      <c r="KF3">
        <v>3</v>
      </c>
      <c r="KG3">
        <v>25</v>
      </c>
      <c r="KH3">
        <v>7</v>
      </c>
      <c r="KI3">
        <v>10</v>
      </c>
      <c r="KJ3">
        <v>12</v>
      </c>
      <c r="KK3">
        <v>10</v>
      </c>
      <c r="KL3">
        <v>11</v>
      </c>
      <c r="KM3">
        <v>0</v>
      </c>
      <c r="KN3">
        <v>0</v>
      </c>
      <c r="KO3">
        <v>1077</v>
      </c>
      <c r="KP3">
        <v>20</v>
      </c>
      <c r="KQ3">
        <v>3</v>
      </c>
      <c r="KR3">
        <v>23</v>
      </c>
      <c r="KS3">
        <v>7</v>
      </c>
      <c r="KT3">
        <v>40</v>
      </c>
      <c r="KU3">
        <v>15</v>
      </c>
      <c r="KV3">
        <v>40</v>
      </c>
      <c r="KW3">
        <v>15</v>
      </c>
      <c r="KX3">
        <v>0</v>
      </c>
      <c r="KY3">
        <v>0</v>
      </c>
      <c r="KZ3">
        <v>1077</v>
      </c>
      <c r="LA3">
        <v>20</v>
      </c>
      <c r="LB3">
        <v>3</v>
      </c>
      <c r="LC3">
        <v>24</v>
      </c>
      <c r="LD3">
        <v>7</v>
      </c>
      <c r="LE3">
        <v>40</v>
      </c>
      <c r="LF3">
        <v>15</v>
      </c>
      <c r="LG3">
        <v>40</v>
      </c>
      <c r="LH3">
        <v>15</v>
      </c>
      <c r="LI3">
        <v>0</v>
      </c>
      <c r="LJ3">
        <v>0</v>
      </c>
      <c r="LK3">
        <v>1077</v>
      </c>
      <c r="LL3">
        <v>20</v>
      </c>
      <c r="LM3">
        <v>3</v>
      </c>
      <c r="LN3">
        <v>25</v>
      </c>
      <c r="LO3">
        <v>7</v>
      </c>
      <c r="LP3">
        <v>40</v>
      </c>
      <c r="LQ3">
        <v>15</v>
      </c>
      <c r="LR3">
        <v>40</v>
      </c>
      <c r="LS3">
        <v>15</v>
      </c>
      <c r="LT3">
        <v>0</v>
      </c>
      <c r="LU3">
        <v>0</v>
      </c>
      <c r="LV3">
        <v>1077</v>
      </c>
      <c r="LW3">
        <v>21</v>
      </c>
      <c r="LX3">
        <v>3</v>
      </c>
      <c r="LY3">
        <v>23</v>
      </c>
      <c r="LZ3">
        <v>7</v>
      </c>
      <c r="MA3">
        <v>40</v>
      </c>
      <c r="MB3">
        <v>15</v>
      </c>
      <c r="MC3">
        <v>40</v>
      </c>
      <c r="MD3">
        <v>15</v>
      </c>
      <c r="ME3">
        <v>0</v>
      </c>
      <c r="MF3">
        <v>0</v>
      </c>
      <c r="MG3">
        <v>1077</v>
      </c>
      <c r="MH3">
        <v>21</v>
      </c>
      <c r="MI3">
        <v>3</v>
      </c>
      <c r="MJ3">
        <v>24</v>
      </c>
      <c r="MK3">
        <v>7</v>
      </c>
      <c r="ML3">
        <v>40</v>
      </c>
      <c r="MM3">
        <v>15</v>
      </c>
      <c r="MN3">
        <v>40</v>
      </c>
      <c r="MO3">
        <v>15</v>
      </c>
      <c r="MP3">
        <v>0</v>
      </c>
      <c r="MQ3">
        <v>0</v>
      </c>
      <c r="MR3">
        <v>1077</v>
      </c>
      <c r="MS3">
        <v>21</v>
      </c>
      <c r="MT3">
        <v>3</v>
      </c>
      <c r="MU3">
        <v>25</v>
      </c>
      <c r="MV3">
        <v>7</v>
      </c>
      <c r="MW3">
        <v>40</v>
      </c>
      <c r="MX3">
        <v>15</v>
      </c>
      <c r="MY3">
        <v>40</v>
      </c>
      <c r="MZ3">
        <v>15</v>
      </c>
      <c r="NA3">
        <v>0</v>
      </c>
      <c r="NB3">
        <v>0</v>
      </c>
      <c r="NC3">
        <v>1077</v>
      </c>
      <c r="ND3">
        <v>22</v>
      </c>
      <c r="NE3">
        <v>3</v>
      </c>
      <c r="NF3">
        <v>23</v>
      </c>
      <c r="NG3">
        <v>7</v>
      </c>
      <c r="NH3">
        <v>40</v>
      </c>
      <c r="NI3">
        <v>15</v>
      </c>
      <c r="NJ3">
        <v>40</v>
      </c>
      <c r="NK3">
        <v>15</v>
      </c>
      <c r="NL3">
        <v>0</v>
      </c>
      <c r="NM3">
        <v>0</v>
      </c>
      <c r="NN3">
        <v>1077</v>
      </c>
      <c r="NO3">
        <v>22</v>
      </c>
      <c r="NP3">
        <v>3</v>
      </c>
      <c r="NQ3">
        <v>24</v>
      </c>
      <c r="NR3">
        <v>7</v>
      </c>
      <c r="NS3">
        <v>40</v>
      </c>
      <c r="NT3">
        <v>15</v>
      </c>
      <c r="NU3">
        <v>40</v>
      </c>
      <c r="NV3">
        <v>15</v>
      </c>
      <c r="NW3">
        <v>0</v>
      </c>
      <c r="NX3">
        <v>0</v>
      </c>
      <c r="NY3">
        <v>1077</v>
      </c>
      <c r="NZ3">
        <v>22</v>
      </c>
      <c r="OA3">
        <v>3</v>
      </c>
      <c r="OB3">
        <v>25</v>
      </c>
      <c r="OC3">
        <v>7</v>
      </c>
      <c r="OD3">
        <v>40</v>
      </c>
      <c r="OE3">
        <v>15</v>
      </c>
      <c r="OF3">
        <v>40</v>
      </c>
      <c r="OG3">
        <v>15</v>
      </c>
      <c r="OH3">
        <v>0</v>
      </c>
      <c r="OI3">
        <v>0</v>
      </c>
      <c r="OJ3">
        <v>275.5</v>
      </c>
      <c r="OK3">
        <v>20</v>
      </c>
      <c r="OL3">
        <v>4</v>
      </c>
      <c r="OM3">
        <v>23</v>
      </c>
      <c r="ON3">
        <v>5</v>
      </c>
      <c r="OO3">
        <v>10</v>
      </c>
      <c r="OP3">
        <v>12</v>
      </c>
      <c r="OQ3">
        <v>10</v>
      </c>
      <c r="OR3">
        <v>11</v>
      </c>
      <c r="OS3">
        <v>0</v>
      </c>
      <c r="OT3">
        <v>0</v>
      </c>
      <c r="OU3">
        <v>275.5</v>
      </c>
      <c r="OV3">
        <v>20</v>
      </c>
      <c r="OW3">
        <v>4</v>
      </c>
      <c r="OX3">
        <v>24</v>
      </c>
      <c r="OY3">
        <v>5</v>
      </c>
      <c r="OZ3">
        <v>10</v>
      </c>
      <c r="PA3">
        <v>12</v>
      </c>
      <c r="PB3">
        <v>10</v>
      </c>
      <c r="PC3">
        <v>11</v>
      </c>
      <c r="PD3">
        <v>0</v>
      </c>
      <c r="PE3">
        <v>0</v>
      </c>
      <c r="PF3">
        <v>275.5</v>
      </c>
      <c r="PG3">
        <v>20</v>
      </c>
      <c r="PH3">
        <v>4</v>
      </c>
      <c r="PI3">
        <v>25</v>
      </c>
      <c r="PJ3">
        <v>5</v>
      </c>
      <c r="PK3">
        <v>10</v>
      </c>
      <c r="PL3">
        <v>12</v>
      </c>
      <c r="PM3">
        <v>10</v>
      </c>
      <c r="PN3">
        <v>11</v>
      </c>
      <c r="PO3">
        <v>0</v>
      </c>
      <c r="PP3">
        <v>0</v>
      </c>
      <c r="PQ3">
        <v>275.5</v>
      </c>
      <c r="PR3">
        <v>21</v>
      </c>
      <c r="PS3">
        <v>4</v>
      </c>
      <c r="PT3">
        <v>23</v>
      </c>
      <c r="PU3">
        <v>5</v>
      </c>
      <c r="PV3">
        <v>10</v>
      </c>
      <c r="PW3">
        <v>12</v>
      </c>
      <c r="PX3">
        <v>10</v>
      </c>
      <c r="PY3">
        <v>11</v>
      </c>
      <c r="PZ3">
        <v>0</v>
      </c>
      <c r="QA3">
        <v>0</v>
      </c>
      <c r="QB3">
        <v>275.5</v>
      </c>
      <c r="QC3">
        <v>21</v>
      </c>
      <c r="QD3">
        <v>4</v>
      </c>
      <c r="QE3">
        <v>24</v>
      </c>
      <c r="QF3">
        <v>5</v>
      </c>
      <c r="QG3">
        <v>10</v>
      </c>
      <c r="QH3">
        <v>12</v>
      </c>
      <c r="QI3">
        <v>10</v>
      </c>
      <c r="QJ3">
        <v>11</v>
      </c>
      <c r="QK3">
        <v>0</v>
      </c>
      <c r="QL3">
        <v>0</v>
      </c>
      <c r="QM3">
        <v>275.5</v>
      </c>
      <c r="QN3">
        <v>21</v>
      </c>
      <c r="QO3">
        <v>4</v>
      </c>
      <c r="QP3">
        <v>25</v>
      </c>
      <c r="QQ3">
        <v>5</v>
      </c>
      <c r="QR3">
        <v>10</v>
      </c>
      <c r="QS3">
        <v>12</v>
      </c>
      <c r="QT3">
        <v>10</v>
      </c>
      <c r="QU3">
        <v>11</v>
      </c>
      <c r="QV3">
        <v>0</v>
      </c>
      <c r="QW3">
        <v>0</v>
      </c>
      <c r="QX3">
        <v>275.5</v>
      </c>
      <c r="QY3">
        <v>22</v>
      </c>
      <c r="QZ3">
        <v>4</v>
      </c>
      <c r="RA3">
        <v>23</v>
      </c>
      <c r="RB3">
        <v>5</v>
      </c>
      <c r="RC3">
        <v>10</v>
      </c>
      <c r="RD3">
        <v>12</v>
      </c>
      <c r="RE3">
        <v>10</v>
      </c>
      <c r="RF3">
        <v>11</v>
      </c>
      <c r="RG3">
        <v>0</v>
      </c>
      <c r="RH3">
        <v>0</v>
      </c>
      <c r="RI3">
        <v>275.5</v>
      </c>
      <c r="RJ3">
        <v>22</v>
      </c>
      <c r="RK3">
        <v>4</v>
      </c>
      <c r="RL3">
        <v>24</v>
      </c>
      <c r="RM3">
        <v>5</v>
      </c>
      <c r="RN3">
        <v>10</v>
      </c>
      <c r="RO3">
        <v>12</v>
      </c>
      <c r="RP3">
        <v>10</v>
      </c>
      <c r="RQ3">
        <v>11</v>
      </c>
      <c r="RR3">
        <v>0</v>
      </c>
      <c r="RS3">
        <v>0</v>
      </c>
      <c r="RT3">
        <v>275.5</v>
      </c>
      <c r="RU3">
        <v>22</v>
      </c>
      <c r="RV3">
        <v>4</v>
      </c>
      <c r="RW3">
        <v>25</v>
      </c>
      <c r="RX3">
        <v>5</v>
      </c>
      <c r="RY3">
        <v>10</v>
      </c>
      <c r="RZ3">
        <v>12</v>
      </c>
      <c r="SA3">
        <v>10</v>
      </c>
      <c r="SB3">
        <v>11</v>
      </c>
      <c r="SC3">
        <v>0</v>
      </c>
      <c r="SD3">
        <v>0</v>
      </c>
      <c r="SE3">
        <v>1077</v>
      </c>
      <c r="SF3">
        <v>20</v>
      </c>
      <c r="SG3">
        <v>4</v>
      </c>
      <c r="SH3">
        <v>23</v>
      </c>
      <c r="SI3">
        <v>5</v>
      </c>
      <c r="SJ3">
        <v>40</v>
      </c>
      <c r="SK3">
        <v>15</v>
      </c>
      <c r="SL3">
        <v>40</v>
      </c>
      <c r="SM3">
        <v>15</v>
      </c>
      <c r="SN3">
        <v>0</v>
      </c>
      <c r="SO3">
        <v>0</v>
      </c>
      <c r="SP3">
        <v>1077</v>
      </c>
      <c r="SQ3">
        <v>20</v>
      </c>
      <c r="SR3">
        <v>4</v>
      </c>
      <c r="SS3">
        <v>24</v>
      </c>
      <c r="ST3">
        <v>5</v>
      </c>
      <c r="SU3">
        <v>40</v>
      </c>
      <c r="SV3">
        <v>15</v>
      </c>
      <c r="SW3">
        <v>40</v>
      </c>
      <c r="SX3">
        <v>15</v>
      </c>
      <c r="SY3">
        <v>0</v>
      </c>
      <c r="SZ3">
        <v>0</v>
      </c>
      <c r="TA3">
        <v>1077</v>
      </c>
      <c r="TB3">
        <v>20</v>
      </c>
      <c r="TC3">
        <v>4</v>
      </c>
      <c r="TD3">
        <v>25</v>
      </c>
      <c r="TE3">
        <v>5</v>
      </c>
      <c r="TF3">
        <v>40</v>
      </c>
      <c r="TG3">
        <v>15</v>
      </c>
      <c r="TH3">
        <v>40</v>
      </c>
      <c r="TI3">
        <v>15</v>
      </c>
      <c r="TJ3">
        <v>0</v>
      </c>
      <c r="TK3">
        <v>0</v>
      </c>
      <c r="TL3">
        <v>1077</v>
      </c>
      <c r="TM3">
        <v>21</v>
      </c>
      <c r="TN3">
        <v>4</v>
      </c>
      <c r="TO3">
        <v>23</v>
      </c>
      <c r="TP3">
        <v>5</v>
      </c>
      <c r="TQ3">
        <v>40</v>
      </c>
      <c r="TR3">
        <v>15</v>
      </c>
      <c r="TS3">
        <v>40</v>
      </c>
      <c r="TT3">
        <v>15</v>
      </c>
      <c r="TU3">
        <v>0</v>
      </c>
      <c r="TV3">
        <v>0</v>
      </c>
      <c r="TW3">
        <v>1077</v>
      </c>
      <c r="TX3">
        <v>21</v>
      </c>
      <c r="TY3">
        <v>4</v>
      </c>
      <c r="TZ3">
        <v>24</v>
      </c>
      <c r="UA3">
        <v>5</v>
      </c>
      <c r="UB3">
        <v>40</v>
      </c>
      <c r="UC3">
        <v>15</v>
      </c>
      <c r="UD3">
        <v>40</v>
      </c>
      <c r="UE3">
        <v>15</v>
      </c>
      <c r="UF3">
        <v>0</v>
      </c>
      <c r="UG3">
        <v>0</v>
      </c>
      <c r="UH3">
        <v>1077</v>
      </c>
      <c r="UI3">
        <v>21</v>
      </c>
      <c r="UJ3">
        <v>4</v>
      </c>
      <c r="UK3">
        <v>25</v>
      </c>
      <c r="UL3">
        <v>5</v>
      </c>
      <c r="UM3">
        <v>40</v>
      </c>
      <c r="UN3">
        <v>15</v>
      </c>
      <c r="UO3">
        <v>40</v>
      </c>
      <c r="UP3">
        <v>15</v>
      </c>
      <c r="UQ3">
        <v>0</v>
      </c>
      <c r="UR3">
        <v>0</v>
      </c>
      <c r="US3">
        <v>1077</v>
      </c>
      <c r="UT3">
        <v>22</v>
      </c>
      <c r="UU3">
        <v>4</v>
      </c>
      <c r="UV3">
        <v>23</v>
      </c>
      <c r="UW3">
        <v>5</v>
      </c>
      <c r="UX3">
        <v>40</v>
      </c>
      <c r="UY3">
        <v>15</v>
      </c>
      <c r="UZ3">
        <v>40</v>
      </c>
      <c r="VA3">
        <v>15</v>
      </c>
      <c r="VB3">
        <v>0</v>
      </c>
      <c r="VC3">
        <v>0</v>
      </c>
      <c r="VD3">
        <v>1077</v>
      </c>
      <c r="VE3">
        <v>22</v>
      </c>
      <c r="VF3">
        <v>4</v>
      </c>
      <c r="VG3">
        <v>24</v>
      </c>
      <c r="VH3">
        <v>5</v>
      </c>
      <c r="VI3">
        <v>40</v>
      </c>
      <c r="VJ3">
        <v>15</v>
      </c>
      <c r="VK3">
        <v>40</v>
      </c>
      <c r="VL3">
        <v>15</v>
      </c>
      <c r="VM3">
        <v>0</v>
      </c>
      <c r="VN3">
        <v>0</v>
      </c>
      <c r="VO3">
        <v>1077</v>
      </c>
      <c r="VP3">
        <v>22</v>
      </c>
      <c r="VQ3">
        <v>4</v>
      </c>
      <c r="VR3">
        <v>25</v>
      </c>
      <c r="VS3">
        <v>5</v>
      </c>
      <c r="VT3">
        <v>40</v>
      </c>
      <c r="VU3">
        <v>15</v>
      </c>
      <c r="VV3">
        <v>40</v>
      </c>
      <c r="VW3">
        <v>15</v>
      </c>
      <c r="VX3">
        <v>0</v>
      </c>
      <c r="VY3">
        <v>0</v>
      </c>
      <c r="VZ3">
        <v>275.5</v>
      </c>
      <c r="WA3">
        <v>20</v>
      </c>
      <c r="WB3">
        <v>4</v>
      </c>
      <c r="WC3">
        <v>23</v>
      </c>
      <c r="WD3">
        <v>7</v>
      </c>
      <c r="WE3">
        <v>10</v>
      </c>
      <c r="WF3">
        <v>12</v>
      </c>
      <c r="WG3">
        <v>10</v>
      </c>
      <c r="WH3">
        <v>11</v>
      </c>
      <c r="WI3">
        <v>0</v>
      </c>
      <c r="WJ3">
        <v>0</v>
      </c>
      <c r="WK3">
        <v>275.5</v>
      </c>
      <c r="WL3">
        <v>20</v>
      </c>
      <c r="WM3">
        <v>4</v>
      </c>
      <c r="WN3">
        <v>24</v>
      </c>
      <c r="WO3">
        <v>7</v>
      </c>
      <c r="WP3">
        <v>10</v>
      </c>
      <c r="WQ3">
        <v>12</v>
      </c>
      <c r="WR3">
        <v>10</v>
      </c>
      <c r="WS3">
        <v>11</v>
      </c>
      <c r="WT3">
        <v>0</v>
      </c>
      <c r="WU3">
        <v>0</v>
      </c>
      <c r="WV3">
        <v>275.5</v>
      </c>
      <c r="WW3">
        <v>20</v>
      </c>
      <c r="WX3">
        <v>4</v>
      </c>
      <c r="WY3">
        <v>25</v>
      </c>
      <c r="WZ3">
        <v>7</v>
      </c>
      <c r="XA3">
        <v>10</v>
      </c>
      <c r="XB3">
        <v>12</v>
      </c>
      <c r="XC3">
        <v>10</v>
      </c>
      <c r="XD3">
        <v>11</v>
      </c>
      <c r="XE3">
        <v>0</v>
      </c>
      <c r="XF3">
        <v>0</v>
      </c>
      <c r="XG3">
        <v>275.5</v>
      </c>
      <c r="XH3">
        <v>21</v>
      </c>
      <c r="XI3">
        <v>4</v>
      </c>
      <c r="XJ3">
        <v>23</v>
      </c>
      <c r="XK3">
        <v>7</v>
      </c>
      <c r="XL3">
        <v>10</v>
      </c>
      <c r="XM3">
        <v>12</v>
      </c>
      <c r="XN3">
        <v>10</v>
      </c>
      <c r="XO3">
        <v>11</v>
      </c>
      <c r="XP3">
        <v>0</v>
      </c>
      <c r="XQ3">
        <v>0</v>
      </c>
      <c r="XR3">
        <v>275.5</v>
      </c>
      <c r="XS3">
        <v>21</v>
      </c>
      <c r="XT3">
        <v>4</v>
      </c>
      <c r="XU3">
        <v>24</v>
      </c>
      <c r="XV3">
        <v>7</v>
      </c>
      <c r="XW3">
        <v>10</v>
      </c>
      <c r="XX3">
        <v>12</v>
      </c>
      <c r="XY3">
        <v>10</v>
      </c>
      <c r="XZ3">
        <v>11</v>
      </c>
      <c r="YA3">
        <v>0</v>
      </c>
      <c r="YB3">
        <v>0</v>
      </c>
      <c r="YC3">
        <v>275.5</v>
      </c>
      <c r="YD3">
        <v>21</v>
      </c>
      <c r="YE3">
        <v>4</v>
      </c>
      <c r="YF3">
        <v>25</v>
      </c>
      <c r="YG3">
        <v>7</v>
      </c>
      <c r="YH3">
        <v>10</v>
      </c>
      <c r="YI3">
        <v>12</v>
      </c>
      <c r="YJ3">
        <v>10</v>
      </c>
      <c r="YK3">
        <v>11</v>
      </c>
      <c r="YL3">
        <v>0</v>
      </c>
      <c r="YM3">
        <v>0</v>
      </c>
      <c r="YN3">
        <v>275.5</v>
      </c>
      <c r="YO3">
        <v>22</v>
      </c>
      <c r="YP3">
        <v>4</v>
      </c>
      <c r="YQ3">
        <v>23</v>
      </c>
      <c r="YR3">
        <v>7</v>
      </c>
      <c r="YS3">
        <v>10</v>
      </c>
      <c r="YT3">
        <v>12</v>
      </c>
      <c r="YU3">
        <v>10</v>
      </c>
      <c r="YV3">
        <v>11</v>
      </c>
      <c r="YW3">
        <v>0</v>
      </c>
      <c r="YX3">
        <v>0</v>
      </c>
      <c r="YY3">
        <v>275.5</v>
      </c>
      <c r="YZ3">
        <v>22</v>
      </c>
      <c r="ZA3">
        <v>4</v>
      </c>
      <c r="ZB3">
        <v>24</v>
      </c>
      <c r="ZC3">
        <v>7</v>
      </c>
      <c r="ZD3">
        <v>10</v>
      </c>
      <c r="ZE3">
        <v>12</v>
      </c>
      <c r="ZF3">
        <v>10</v>
      </c>
      <c r="ZG3">
        <v>11</v>
      </c>
      <c r="ZH3">
        <v>0</v>
      </c>
      <c r="ZI3">
        <v>0</v>
      </c>
      <c r="ZJ3">
        <v>275.5</v>
      </c>
      <c r="ZK3">
        <v>22</v>
      </c>
      <c r="ZL3">
        <v>4</v>
      </c>
      <c r="ZM3">
        <v>25</v>
      </c>
      <c r="ZN3">
        <v>7</v>
      </c>
      <c r="ZO3">
        <v>10</v>
      </c>
      <c r="ZP3">
        <v>12</v>
      </c>
      <c r="ZQ3">
        <v>10</v>
      </c>
      <c r="ZR3">
        <v>11</v>
      </c>
      <c r="ZS3">
        <v>0</v>
      </c>
      <c r="ZT3">
        <v>0</v>
      </c>
      <c r="ZU3">
        <v>1077</v>
      </c>
      <c r="ZV3">
        <v>20</v>
      </c>
      <c r="ZW3">
        <v>4</v>
      </c>
      <c r="ZX3">
        <v>23</v>
      </c>
      <c r="ZY3">
        <v>7</v>
      </c>
      <c r="ZZ3">
        <v>40</v>
      </c>
      <c r="AAA3">
        <v>15</v>
      </c>
      <c r="AAB3">
        <v>40</v>
      </c>
      <c r="AAC3">
        <v>15</v>
      </c>
      <c r="AAD3">
        <v>0</v>
      </c>
      <c r="AAE3">
        <v>0</v>
      </c>
      <c r="AAF3">
        <v>1077</v>
      </c>
      <c r="AAG3">
        <v>20</v>
      </c>
      <c r="AAH3">
        <v>4</v>
      </c>
      <c r="AAI3">
        <v>24</v>
      </c>
      <c r="AAJ3">
        <v>7</v>
      </c>
      <c r="AAK3">
        <v>40</v>
      </c>
      <c r="AAL3">
        <v>15</v>
      </c>
      <c r="AAM3">
        <v>40</v>
      </c>
      <c r="AAN3">
        <v>15</v>
      </c>
      <c r="AAO3">
        <v>0</v>
      </c>
      <c r="AAP3">
        <v>0</v>
      </c>
      <c r="AAQ3">
        <v>1077</v>
      </c>
      <c r="AAR3">
        <v>20</v>
      </c>
      <c r="AAS3">
        <v>4</v>
      </c>
      <c r="AAT3">
        <v>25</v>
      </c>
      <c r="AAU3">
        <v>7</v>
      </c>
      <c r="AAV3">
        <v>40</v>
      </c>
      <c r="AAW3">
        <v>15</v>
      </c>
      <c r="AAX3">
        <v>40</v>
      </c>
      <c r="AAY3">
        <v>15</v>
      </c>
      <c r="AAZ3">
        <v>0</v>
      </c>
      <c r="ABA3">
        <v>0</v>
      </c>
      <c r="ABB3">
        <v>1077</v>
      </c>
      <c r="ABC3">
        <v>21</v>
      </c>
      <c r="ABD3">
        <v>4</v>
      </c>
      <c r="ABE3">
        <v>23</v>
      </c>
      <c r="ABF3">
        <v>7</v>
      </c>
      <c r="ABG3">
        <v>40</v>
      </c>
      <c r="ABH3">
        <v>15</v>
      </c>
      <c r="ABI3">
        <v>40</v>
      </c>
      <c r="ABJ3">
        <v>15</v>
      </c>
      <c r="ABK3">
        <v>0</v>
      </c>
      <c r="ABL3">
        <v>0</v>
      </c>
      <c r="ABM3">
        <v>1077</v>
      </c>
      <c r="ABN3">
        <v>21</v>
      </c>
      <c r="ABO3">
        <v>4</v>
      </c>
      <c r="ABP3">
        <v>24</v>
      </c>
      <c r="ABQ3">
        <v>7</v>
      </c>
      <c r="ABR3">
        <v>40</v>
      </c>
      <c r="ABS3">
        <v>15</v>
      </c>
      <c r="ABT3">
        <v>40</v>
      </c>
      <c r="ABU3">
        <v>15</v>
      </c>
      <c r="ABV3">
        <v>0</v>
      </c>
      <c r="ABW3">
        <v>0</v>
      </c>
      <c r="ABX3">
        <v>1077</v>
      </c>
      <c r="ABY3">
        <v>21</v>
      </c>
      <c r="ABZ3">
        <v>4</v>
      </c>
      <c r="ACA3">
        <v>25</v>
      </c>
      <c r="ACB3">
        <v>7</v>
      </c>
      <c r="ACC3">
        <v>40</v>
      </c>
      <c r="ACD3">
        <v>15</v>
      </c>
      <c r="ACE3">
        <v>40</v>
      </c>
      <c r="ACF3">
        <v>15</v>
      </c>
      <c r="ACG3">
        <v>0</v>
      </c>
      <c r="ACH3">
        <v>0</v>
      </c>
      <c r="ACI3">
        <v>1077</v>
      </c>
      <c r="ACJ3">
        <v>22</v>
      </c>
      <c r="ACK3">
        <v>4</v>
      </c>
      <c r="ACL3">
        <v>23</v>
      </c>
      <c r="ACM3">
        <v>7</v>
      </c>
      <c r="ACN3">
        <v>40</v>
      </c>
      <c r="ACO3">
        <v>15</v>
      </c>
      <c r="ACP3">
        <v>40</v>
      </c>
      <c r="ACQ3">
        <v>15</v>
      </c>
      <c r="ACR3">
        <v>0</v>
      </c>
      <c r="ACS3">
        <v>0</v>
      </c>
      <c r="ACT3">
        <v>1077</v>
      </c>
      <c r="ACU3">
        <v>22</v>
      </c>
      <c r="ACV3">
        <v>4</v>
      </c>
      <c r="ACW3">
        <v>24</v>
      </c>
      <c r="ACX3">
        <v>7</v>
      </c>
      <c r="ACY3">
        <v>40</v>
      </c>
      <c r="ACZ3">
        <v>15</v>
      </c>
      <c r="ADA3">
        <v>40</v>
      </c>
      <c r="ADB3">
        <v>15</v>
      </c>
      <c r="ADC3">
        <v>0</v>
      </c>
      <c r="ADD3">
        <v>0</v>
      </c>
      <c r="ADE3">
        <v>1077</v>
      </c>
      <c r="ADF3">
        <v>22</v>
      </c>
      <c r="ADG3">
        <v>4</v>
      </c>
      <c r="ADH3">
        <v>25</v>
      </c>
      <c r="ADI3">
        <v>7</v>
      </c>
      <c r="ADJ3">
        <v>40</v>
      </c>
      <c r="ADK3">
        <v>15</v>
      </c>
      <c r="ADL3">
        <v>40</v>
      </c>
      <c r="ADM3">
        <v>15</v>
      </c>
      <c r="ADN3">
        <v>0</v>
      </c>
      <c r="ADO3">
        <v>0</v>
      </c>
      <c r="ADP3">
        <v>275.5</v>
      </c>
      <c r="ADQ3">
        <v>20</v>
      </c>
      <c r="ADR3">
        <v>3</v>
      </c>
      <c r="ADS3">
        <v>23</v>
      </c>
      <c r="ADT3">
        <v>5</v>
      </c>
      <c r="ADU3">
        <v>10</v>
      </c>
      <c r="ADV3">
        <v>12</v>
      </c>
      <c r="ADW3">
        <v>10</v>
      </c>
      <c r="ADX3">
        <v>11</v>
      </c>
      <c r="ADY3">
        <v>0</v>
      </c>
      <c r="ADZ3">
        <v>0</v>
      </c>
      <c r="AEA3">
        <v>275.5</v>
      </c>
      <c r="AEB3">
        <v>20</v>
      </c>
      <c r="AEC3">
        <v>3</v>
      </c>
      <c r="AED3">
        <v>24</v>
      </c>
      <c r="AEE3">
        <v>5</v>
      </c>
      <c r="AEF3">
        <v>10</v>
      </c>
      <c r="AEG3">
        <v>12</v>
      </c>
      <c r="AEH3">
        <v>10</v>
      </c>
      <c r="AEI3">
        <v>11</v>
      </c>
      <c r="AEJ3">
        <v>0</v>
      </c>
      <c r="AEK3">
        <v>0</v>
      </c>
      <c r="AEL3">
        <v>275.5</v>
      </c>
      <c r="AEM3">
        <v>20</v>
      </c>
      <c r="AEN3">
        <v>3</v>
      </c>
      <c r="AEO3">
        <v>25</v>
      </c>
      <c r="AEP3">
        <v>5</v>
      </c>
      <c r="AEQ3">
        <v>10</v>
      </c>
      <c r="AER3">
        <v>12</v>
      </c>
      <c r="AES3">
        <v>10</v>
      </c>
      <c r="AET3">
        <v>11</v>
      </c>
      <c r="AEU3">
        <v>0</v>
      </c>
      <c r="AEV3">
        <v>0</v>
      </c>
      <c r="AEW3">
        <v>275.5</v>
      </c>
      <c r="AEX3">
        <v>21</v>
      </c>
      <c r="AEY3">
        <v>3</v>
      </c>
      <c r="AEZ3">
        <v>23</v>
      </c>
      <c r="AFA3">
        <v>5</v>
      </c>
      <c r="AFB3">
        <v>10</v>
      </c>
      <c r="AFC3">
        <v>12</v>
      </c>
      <c r="AFD3">
        <v>10</v>
      </c>
      <c r="AFE3">
        <v>11</v>
      </c>
      <c r="AFF3">
        <v>0</v>
      </c>
      <c r="AFG3">
        <v>0</v>
      </c>
      <c r="AFH3">
        <v>275.5</v>
      </c>
      <c r="AFI3">
        <v>21</v>
      </c>
      <c r="AFJ3">
        <v>3</v>
      </c>
      <c r="AFK3">
        <v>24</v>
      </c>
      <c r="AFL3">
        <v>5</v>
      </c>
      <c r="AFM3">
        <v>10</v>
      </c>
      <c r="AFN3">
        <v>12</v>
      </c>
      <c r="AFO3">
        <v>10</v>
      </c>
      <c r="AFP3">
        <v>11</v>
      </c>
      <c r="AFQ3">
        <v>0</v>
      </c>
      <c r="AFR3">
        <v>0</v>
      </c>
      <c r="AFS3">
        <v>275.5</v>
      </c>
      <c r="AFT3">
        <v>21</v>
      </c>
      <c r="AFU3">
        <v>3</v>
      </c>
      <c r="AFV3">
        <v>25</v>
      </c>
      <c r="AFW3">
        <v>5</v>
      </c>
      <c r="AFX3">
        <v>10</v>
      </c>
      <c r="AFY3">
        <v>12</v>
      </c>
      <c r="AFZ3">
        <v>10</v>
      </c>
      <c r="AGA3">
        <v>11</v>
      </c>
      <c r="AGB3">
        <v>0</v>
      </c>
      <c r="AGC3">
        <v>0</v>
      </c>
      <c r="AGD3">
        <v>275.5</v>
      </c>
      <c r="AGE3">
        <v>22</v>
      </c>
      <c r="AGF3">
        <v>3</v>
      </c>
      <c r="AGG3">
        <v>23</v>
      </c>
      <c r="AGH3">
        <v>5</v>
      </c>
      <c r="AGI3">
        <v>10</v>
      </c>
      <c r="AGJ3">
        <v>12</v>
      </c>
      <c r="AGK3">
        <v>10</v>
      </c>
      <c r="AGL3">
        <v>11</v>
      </c>
      <c r="AGM3">
        <v>0</v>
      </c>
      <c r="AGN3">
        <v>0</v>
      </c>
      <c r="AGO3">
        <v>275.5</v>
      </c>
      <c r="AGP3">
        <v>22</v>
      </c>
      <c r="AGQ3">
        <v>3</v>
      </c>
      <c r="AGR3">
        <v>24</v>
      </c>
      <c r="AGS3">
        <v>5</v>
      </c>
      <c r="AGT3">
        <v>10</v>
      </c>
      <c r="AGU3">
        <v>12</v>
      </c>
      <c r="AGV3">
        <v>10</v>
      </c>
      <c r="AGW3">
        <v>11</v>
      </c>
      <c r="AGX3">
        <v>0</v>
      </c>
      <c r="AGY3">
        <v>0</v>
      </c>
      <c r="AGZ3">
        <v>275.5</v>
      </c>
      <c r="AHA3">
        <v>22</v>
      </c>
      <c r="AHB3">
        <v>3</v>
      </c>
      <c r="AHC3">
        <v>25</v>
      </c>
      <c r="AHD3">
        <v>5</v>
      </c>
      <c r="AHE3">
        <v>10</v>
      </c>
      <c r="AHF3">
        <v>12</v>
      </c>
      <c r="AHG3">
        <v>10</v>
      </c>
      <c r="AHH3">
        <v>11</v>
      </c>
      <c r="AHI3">
        <v>0</v>
      </c>
      <c r="AHJ3">
        <v>0</v>
      </c>
      <c r="AHK3">
        <v>1077</v>
      </c>
      <c r="AHL3">
        <v>20</v>
      </c>
      <c r="AHM3">
        <v>3</v>
      </c>
      <c r="AHN3">
        <v>23</v>
      </c>
      <c r="AHO3">
        <v>5</v>
      </c>
      <c r="AHP3">
        <v>40</v>
      </c>
      <c r="AHQ3">
        <v>15</v>
      </c>
      <c r="AHR3">
        <v>40</v>
      </c>
      <c r="AHS3">
        <v>15</v>
      </c>
      <c r="AHT3">
        <v>0</v>
      </c>
      <c r="AHU3">
        <v>0</v>
      </c>
      <c r="AHV3">
        <v>1077</v>
      </c>
      <c r="AHW3">
        <v>20</v>
      </c>
      <c r="AHX3">
        <v>3</v>
      </c>
      <c r="AHY3">
        <v>24</v>
      </c>
      <c r="AHZ3">
        <v>5</v>
      </c>
      <c r="AIA3">
        <v>40</v>
      </c>
      <c r="AIB3">
        <v>15</v>
      </c>
      <c r="AIC3">
        <v>40</v>
      </c>
      <c r="AID3">
        <v>15</v>
      </c>
      <c r="AIE3">
        <v>0</v>
      </c>
      <c r="AIF3">
        <v>0</v>
      </c>
      <c r="AIG3">
        <v>1077</v>
      </c>
      <c r="AIH3">
        <v>20</v>
      </c>
      <c r="AII3">
        <v>3</v>
      </c>
      <c r="AIJ3">
        <v>25</v>
      </c>
      <c r="AIK3">
        <v>5</v>
      </c>
      <c r="AIL3">
        <v>40</v>
      </c>
      <c r="AIM3">
        <v>15</v>
      </c>
      <c r="AIN3">
        <v>40</v>
      </c>
      <c r="AIO3">
        <v>15</v>
      </c>
      <c r="AIP3">
        <v>0</v>
      </c>
      <c r="AIQ3">
        <v>0</v>
      </c>
      <c r="AIR3">
        <v>1077</v>
      </c>
      <c r="AIS3">
        <v>21</v>
      </c>
      <c r="AIT3">
        <v>3</v>
      </c>
      <c r="AIU3">
        <v>23</v>
      </c>
      <c r="AIV3">
        <v>5</v>
      </c>
      <c r="AIW3">
        <v>40</v>
      </c>
      <c r="AIX3">
        <v>15</v>
      </c>
      <c r="AIY3">
        <v>40</v>
      </c>
      <c r="AIZ3">
        <v>15</v>
      </c>
      <c r="AJA3">
        <v>0</v>
      </c>
      <c r="AJB3">
        <v>0</v>
      </c>
      <c r="AJC3">
        <v>1077</v>
      </c>
      <c r="AJD3">
        <v>21</v>
      </c>
      <c r="AJE3">
        <v>3</v>
      </c>
      <c r="AJF3">
        <v>24</v>
      </c>
      <c r="AJG3">
        <v>5</v>
      </c>
      <c r="AJH3">
        <v>40</v>
      </c>
      <c r="AJI3">
        <v>15</v>
      </c>
      <c r="AJJ3">
        <v>40</v>
      </c>
      <c r="AJK3">
        <v>15</v>
      </c>
      <c r="AJL3">
        <v>0</v>
      </c>
      <c r="AJM3">
        <v>0</v>
      </c>
      <c r="AJN3">
        <v>1077</v>
      </c>
      <c r="AJO3">
        <v>21</v>
      </c>
      <c r="AJP3">
        <v>3</v>
      </c>
      <c r="AJQ3">
        <v>25</v>
      </c>
      <c r="AJR3">
        <v>5</v>
      </c>
      <c r="AJS3">
        <v>40</v>
      </c>
      <c r="AJT3">
        <v>15</v>
      </c>
      <c r="AJU3">
        <v>40</v>
      </c>
      <c r="AJV3">
        <v>15</v>
      </c>
      <c r="AJW3">
        <v>0</v>
      </c>
      <c r="AJX3">
        <v>0</v>
      </c>
      <c r="AJY3">
        <v>1077</v>
      </c>
      <c r="AJZ3">
        <v>22</v>
      </c>
      <c r="AKA3">
        <v>3</v>
      </c>
      <c r="AKB3">
        <v>23</v>
      </c>
      <c r="AKC3">
        <v>5</v>
      </c>
      <c r="AKD3">
        <v>40</v>
      </c>
      <c r="AKE3">
        <v>15</v>
      </c>
      <c r="AKF3">
        <v>40</v>
      </c>
      <c r="AKG3">
        <v>15</v>
      </c>
      <c r="AKH3">
        <v>0</v>
      </c>
      <c r="AKI3">
        <v>0</v>
      </c>
      <c r="AKJ3">
        <v>1077</v>
      </c>
      <c r="AKK3">
        <v>22</v>
      </c>
      <c r="AKL3">
        <v>3</v>
      </c>
      <c r="AKM3">
        <v>24</v>
      </c>
      <c r="AKN3">
        <v>5</v>
      </c>
      <c r="AKO3">
        <v>40</v>
      </c>
      <c r="AKP3">
        <v>15</v>
      </c>
      <c r="AKQ3">
        <v>40</v>
      </c>
      <c r="AKR3">
        <v>15</v>
      </c>
      <c r="AKS3">
        <v>0</v>
      </c>
      <c r="AKT3">
        <v>0</v>
      </c>
      <c r="AKU3">
        <v>1077</v>
      </c>
      <c r="AKV3">
        <v>22</v>
      </c>
      <c r="AKW3">
        <v>3</v>
      </c>
      <c r="AKX3">
        <v>25</v>
      </c>
      <c r="AKY3">
        <v>5</v>
      </c>
      <c r="AKZ3">
        <v>40</v>
      </c>
      <c r="ALA3">
        <v>15</v>
      </c>
      <c r="ALB3">
        <v>40</v>
      </c>
      <c r="ALC3">
        <v>15</v>
      </c>
      <c r="ALD3">
        <v>0</v>
      </c>
      <c r="ALE3">
        <v>0</v>
      </c>
      <c r="ALF3">
        <v>275.5</v>
      </c>
      <c r="ALG3">
        <v>20</v>
      </c>
      <c r="ALH3">
        <v>3</v>
      </c>
      <c r="ALI3">
        <v>23</v>
      </c>
      <c r="ALJ3">
        <v>7</v>
      </c>
      <c r="ALK3">
        <v>10</v>
      </c>
      <c r="ALL3">
        <v>12</v>
      </c>
      <c r="ALM3">
        <v>10</v>
      </c>
      <c r="ALN3">
        <v>11</v>
      </c>
      <c r="ALO3">
        <v>0</v>
      </c>
      <c r="ALP3">
        <v>0</v>
      </c>
      <c r="ALQ3">
        <v>275.5</v>
      </c>
      <c r="ALR3">
        <v>20</v>
      </c>
      <c r="ALS3">
        <v>3</v>
      </c>
      <c r="ALT3">
        <v>24</v>
      </c>
      <c r="ALU3">
        <v>7</v>
      </c>
      <c r="ALV3">
        <v>10</v>
      </c>
      <c r="ALW3">
        <v>12</v>
      </c>
      <c r="ALX3">
        <v>10</v>
      </c>
      <c r="ALY3">
        <v>11</v>
      </c>
      <c r="ALZ3">
        <v>0</v>
      </c>
      <c r="AMA3">
        <v>0</v>
      </c>
      <c r="AMB3">
        <v>275.5</v>
      </c>
      <c r="AMC3">
        <v>20</v>
      </c>
      <c r="AMD3">
        <v>3</v>
      </c>
      <c r="AME3">
        <v>25</v>
      </c>
      <c r="AMF3">
        <v>7</v>
      </c>
      <c r="AMG3">
        <v>10</v>
      </c>
      <c r="AMH3">
        <v>12</v>
      </c>
      <c r="AMI3">
        <v>10</v>
      </c>
      <c r="AMJ3">
        <v>11</v>
      </c>
      <c r="AMK3">
        <v>0</v>
      </c>
      <c r="AML3">
        <v>0</v>
      </c>
      <c r="AMM3">
        <v>275.5</v>
      </c>
      <c r="AMN3">
        <v>21</v>
      </c>
      <c r="AMO3">
        <v>3</v>
      </c>
      <c r="AMP3">
        <v>23</v>
      </c>
      <c r="AMQ3">
        <v>7</v>
      </c>
      <c r="AMR3">
        <v>10</v>
      </c>
      <c r="AMS3">
        <v>12</v>
      </c>
      <c r="AMT3">
        <v>10</v>
      </c>
      <c r="AMU3">
        <v>11</v>
      </c>
      <c r="AMV3">
        <v>0</v>
      </c>
      <c r="AMW3">
        <v>0</v>
      </c>
      <c r="AMX3">
        <v>275.5</v>
      </c>
      <c r="AMY3">
        <v>21</v>
      </c>
      <c r="AMZ3">
        <v>3</v>
      </c>
      <c r="ANA3">
        <v>24</v>
      </c>
      <c r="ANB3">
        <v>7</v>
      </c>
      <c r="ANC3">
        <v>10</v>
      </c>
      <c r="AND3">
        <v>12</v>
      </c>
      <c r="ANE3">
        <v>10</v>
      </c>
      <c r="ANF3">
        <v>11</v>
      </c>
      <c r="ANG3">
        <v>0</v>
      </c>
      <c r="ANH3">
        <v>0</v>
      </c>
      <c r="ANI3">
        <v>275.5</v>
      </c>
      <c r="ANJ3">
        <v>21</v>
      </c>
      <c r="ANK3">
        <v>3</v>
      </c>
      <c r="ANL3">
        <v>25</v>
      </c>
      <c r="ANM3">
        <v>7</v>
      </c>
      <c r="ANN3">
        <v>10</v>
      </c>
      <c r="ANO3">
        <v>12</v>
      </c>
      <c r="ANP3">
        <v>10</v>
      </c>
      <c r="ANQ3">
        <v>11</v>
      </c>
      <c r="ANR3">
        <v>0</v>
      </c>
      <c r="ANS3">
        <v>0</v>
      </c>
      <c r="ANT3">
        <v>275.5</v>
      </c>
      <c r="ANU3">
        <v>22</v>
      </c>
      <c r="ANV3">
        <v>3</v>
      </c>
      <c r="ANW3">
        <v>23</v>
      </c>
      <c r="ANX3">
        <v>7</v>
      </c>
      <c r="ANY3">
        <v>10</v>
      </c>
      <c r="ANZ3">
        <v>12</v>
      </c>
      <c r="AOA3">
        <v>10</v>
      </c>
      <c r="AOB3">
        <v>11</v>
      </c>
      <c r="AOC3">
        <v>0</v>
      </c>
      <c r="AOD3">
        <v>0</v>
      </c>
      <c r="AOE3">
        <v>275.5</v>
      </c>
      <c r="AOF3">
        <v>22</v>
      </c>
      <c r="AOG3">
        <v>3</v>
      </c>
      <c r="AOH3">
        <v>24</v>
      </c>
      <c r="AOI3">
        <v>7</v>
      </c>
      <c r="AOJ3">
        <v>10</v>
      </c>
      <c r="AOK3">
        <v>12</v>
      </c>
      <c r="AOL3">
        <v>10</v>
      </c>
      <c r="AOM3">
        <v>11</v>
      </c>
      <c r="AON3">
        <v>0</v>
      </c>
      <c r="AOO3">
        <v>0</v>
      </c>
      <c r="AOP3">
        <v>275.5</v>
      </c>
      <c r="AOQ3">
        <v>22</v>
      </c>
      <c r="AOR3">
        <v>3</v>
      </c>
      <c r="AOS3">
        <v>25</v>
      </c>
      <c r="AOT3">
        <v>7</v>
      </c>
      <c r="AOU3">
        <v>10</v>
      </c>
      <c r="AOV3">
        <v>12</v>
      </c>
      <c r="AOW3">
        <v>10</v>
      </c>
      <c r="AOX3">
        <v>11</v>
      </c>
      <c r="AOY3">
        <v>0</v>
      </c>
      <c r="AOZ3">
        <v>0</v>
      </c>
      <c r="APA3">
        <v>1077</v>
      </c>
      <c r="APB3">
        <v>20</v>
      </c>
      <c r="APC3">
        <v>3</v>
      </c>
      <c r="APD3">
        <v>23</v>
      </c>
      <c r="APE3">
        <v>7</v>
      </c>
      <c r="APF3">
        <v>40</v>
      </c>
      <c r="APG3">
        <v>15</v>
      </c>
      <c r="APH3">
        <v>40</v>
      </c>
      <c r="API3">
        <v>15</v>
      </c>
      <c r="APJ3">
        <v>0</v>
      </c>
      <c r="APK3">
        <v>0</v>
      </c>
      <c r="APL3">
        <v>1077</v>
      </c>
      <c r="APM3">
        <v>20</v>
      </c>
      <c r="APN3">
        <v>3</v>
      </c>
      <c r="APO3">
        <v>24</v>
      </c>
      <c r="APP3">
        <v>7</v>
      </c>
      <c r="APQ3">
        <v>40</v>
      </c>
      <c r="APR3">
        <v>15</v>
      </c>
      <c r="APS3">
        <v>40</v>
      </c>
      <c r="APT3">
        <v>15</v>
      </c>
      <c r="APU3">
        <v>0</v>
      </c>
      <c r="APV3">
        <v>0</v>
      </c>
      <c r="APW3">
        <v>1077</v>
      </c>
      <c r="APX3">
        <v>20</v>
      </c>
      <c r="APY3">
        <v>3</v>
      </c>
      <c r="APZ3">
        <v>25</v>
      </c>
      <c r="AQA3">
        <v>7</v>
      </c>
      <c r="AQB3">
        <v>40</v>
      </c>
      <c r="AQC3">
        <v>15</v>
      </c>
      <c r="AQD3">
        <v>40</v>
      </c>
      <c r="AQE3">
        <v>15</v>
      </c>
      <c r="AQF3">
        <v>0</v>
      </c>
      <c r="AQG3">
        <v>0</v>
      </c>
      <c r="AQH3">
        <v>1077</v>
      </c>
      <c r="AQI3">
        <v>21</v>
      </c>
      <c r="AQJ3">
        <v>3</v>
      </c>
      <c r="AQK3">
        <v>23</v>
      </c>
      <c r="AQL3">
        <v>7</v>
      </c>
      <c r="AQM3">
        <v>40</v>
      </c>
      <c r="AQN3">
        <v>15</v>
      </c>
      <c r="AQO3">
        <v>40</v>
      </c>
      <c r="AQP3">
        <v>15</v>
      </c>
      <c r="AQQ3">
        <v>0</v>
      </c>
      <c r="AQR3">
        <v>0</v>
      </c>
      <c r="AQS3">
        <v>1077</v>
      </c>
      <c r="AQT3">
        <v>21</v>
      </c>
      <c r="AQU3">
        <v>3</v>
      </c>
      <c r="AQV3">
        <v>24</v>
      </c>
      <c r="AQW3">
        <v>7</v>
      </c>
      <c r="AQX3">
        <v>40</v>
      </c>
      <c r="AQY3">
        <v>15</v>
      </c>
      <c r="AQZ3">
        <v>40</v>
      </c>
      <c r="ARA3">
        <v>15</v>
      </c>
      <c r="ARB3">
        <v>0</v>
      </c>
      <c r="ARC3">
        <v>0</v>
      </c>
      <c r="ARD3">
        <v>1077</v>
      </c>
      <c r="ARE3">
        <v>21</v>
      </c>
      <c r="ARF3">
        <v>3</v>
      </c>
      <c r="ARG3">
        <v>25</v>
      </c>
      <c r="ARH3">
        <v>7</v>
      </c>
      <c r="ARI3">
        <v>40</v>
      </c>
      <c r="ARJ3">
        <v>15</v>
      </c>
      <c r="ARK3">
        <v>40</v>
      </c>
      <c r="ARL3">
        <v>15</v>
      </c>
      <c r="ARM3">
        <v>0</v>
      </c>
      <c r="ARN3">
        <v>0</v>
      </c>
      <c r="ARO3">
        <v>1077</v>
      </c>
      <c r="ARP3">
        <v>22</v>
      </c>
      <c r="ARQ3">
        <v>3</v>
      </c>
      <c r="ARR3">
        <v>23</v>
      </c>
      <c r="ARS3">
        <v>7</v>
      </c>
      <c r="ART3">
        <v>40</v>
      </c>
      <c r="ARU3">
        <v>15</v>
      </c>
      <c r="ARV3">
        <v>40</v>
      </c>
      <c r="ARW3">
        <v>15</v>
      </c>
      <c r="ARX3">
        <v>0</v>
      </c>
      <c r="ARY3">
        <v>0</v>
      </c>
      <c r="ARZ3">
        <v>1077</v>
      </c>
      <c r="ASA3">
        <v>22</v>
      </c>
      <c r="ASB3">
        <v>3</v>
      </c>
      <c r="ASC3">
        <v>24</v>
      </c>
      <c r="ASD3">
        <v>7</v>
      </c>
      <c r="ASE3">
        <v>40</v>
      </c>
      <c r="ASF3">
        <v>15</v>
      </c>
      <c r="ASG3">
        <v>40</v>
      </c>
      <c r="ASH3">
        <v>15</v>
      </c>
      <c r="ASI3">
        <v>0</v>
      </c>
      <c r="ASJ3">
        <v>0</v>
      </c>
      <c r="ASK3">
        <v>1077</v>
      </c>
      <c r="ASL3">
        <v>22</v>
      </c>
      <c r="ASM3">
        <v>3</v>
      </c>
      <c r="ASN3">
        <v>25</v>
      </c>
      <c r="ASO3">
        <v>7</v>
      </c>
      <c r="ASP3">
        <v>40</v>
      </c>
      <c r="ASQ3">
        <v>15</v>
      </c>
      <c r="ASR3">
        <v>40</v>
      </c>
      <c r="ASS3">
        <v>15</v>
      </c>
      <c r="AST3">
        <v>0</v>
      </c>
      <c r="ASU3">
        <v>0</v>
      </c>
      <c r="ASV3">
        <v>275.5</v>
      </c>
      <c r="ASW3">
        <v>20</v>
      </c>
      <c r="ASX3">
        <v>4</v>
      </c>
      <c r="ASY3">
        <v>23</v>
      </c>
      <c r="ASZ3">
        <v>5</v>
      </c>
      <c r="ATA3">
        <v>10</v>
      </c>
      <c r="ATB3">
        <v>12</v>
      </c>
      <c r="ATC3">
        <v>10</v>
      </c>
      <c r="ATD3">
        <v>11</v>
      </c>
      <c r="ATE3">
        <v>0</v>
      </c>
      <c r="ATF3">
        <v>0</v>
      </c>
      <c r="ATG3">
        <v>275.5</v>
      </c>
      <c r="ATH3">
        <v>20</v>
      </c>
      <c r="ATI3">
        <v>4</v>
      </c>
      <c r="ATJ3">
        <v>24</v>
      </c>
      <c r="ATK3">
        <v>5</v>
      </c>
      <c r="ATL3">
        <v>10</v>
      </c>
      <c r="ATM3">
        <v>12</v>
      </c>
      <c r="ATN3">
        <v>10</v>
      </c>
      <c r="ATO3">
        <v>11</v>
      </c>
      <c r="ATP3">
        <v>0</v>
      </c>
      <c r="ATQ3">
        <v>0</v>
      </c>
      <c r="ATR3">
        <v>275.5</v>
      </c>
      <c r="ATS3">
        <v>20</v>
      </c>
      <c r="ATT3">
        <v>4</v>
      </c>
      <c r="ATU3">
        <v>25</v>
      </c>
      <c r="ATV3">
        <v>5</v>
      </c>
      <c r="ATW3">
        <v>10</v>
      </c>
      <c r="ATX3">
        <v>12</v>
      </c>
      <c r="ATY3">
        <v>10</v>
      </c>
      <c r="ATZ3">
        <v>11</v>
      </c>
      <c r="AUA3">
        <v>0</v>
      </c>
      <c r="AUB3">
        <v>0</v>
      </c>
      <c r="AUC3">
        <v>275.5</v>
      </c>
      <c r="AUD3">
        <v>21</v>
      </c>
      <c r="AUE3">
        <v>4</v>
      </c>
      <c r="AUF3">
        <v>23</v>
      </c>
      <c r="AUG3">
        <v>5</v>
      </c>
      <c r="AUH3">
        <v>10</v>
      </c>
      <c r="AUI3">
        <v>12</v>
      </c>
      <c r="AUJ3">
        <v>10</v>
      </c>
      <c r="AUK3">
        <v>11</v>
      </c>
      <c r="AUL3">
        <v>0</v>
      </c>
      <c r="AUM3">
        <v>0</v>
      </c>
      <c r="AUN3">
        <v>275.5</v>
      </c>
      <c r="AUO3">
        <v>21</v>
      </c>
      <c r="AUP3">
        <v>4</v>
      </c>
      <c r="AUQ3">
        <v>24</v>
      </c>
      <c r="AUR3">
        <v>5</v>
      </c>
      <c r="AUS3">
        <v>10</v>
      </c>
      <c r="AUT3">
        <v>12</v>
      </c>
      <c r="AUU3">
        <v>10</v>
      </c>
      <c r="AUV3">
        <v>11</v>
      </c>
      <c r="AUW3">
        <v>0</v>
      </c>
      <c r="AUX3">
        <v>0</v>
      </c>
      <c r="AUY3">
        <v>275.5</v>
      </c>
      <c r="AUZ3">
        <v>21</v>
      </c>
      <c r="AVA3">
        <v>4</v>
      </c>
      <c r="AVB3">
        <v>25</v>
      </c>
      <c r="AVC3">
        <v>5</v>
      </c>
      <c r="AVD3">
        <v>10</v>
      </c>
      <c r="AVE3">
        <v>12</v>
      </c>
      <c r="AVF3">
        <v>10</v>
      </c>
      <c r="AVG3">
        <v>11</v>
      </c>
      <c r="AVH3">
        <v>0</v>
      </c>
      <c r="AVI3">
        <v>0</v>
      </c>
      <c r="AVJ3">
        <v>275.5</v>
      </c>
      <c r="AVK3">
        <v>22</v>
      </c>
      <c r="AVL3">
        <v>4</v>
      </c>
      <c r="AVM3">
        <v>23</v>
      </c>
      <c r="AVN3">
        <v>5</v>
      </c>
      <c r="AVO3">
        <v>10</v>
      </c>
      <c r="AVP3">
        <v>12</v>
      </c>
      <c r="AVQ3">
        <v>10</v>
      </c>
      <c r="AVR3">
        <v>11</v>
      </c>
      <c r="AVS3">
        <v>0</v>
      </c>
      <c r="AVT3">
        <v>0</v>
      </c>
      <c r="AVU3">
        <v>275.5</v>
      </c>
      <c r="AVV3">
        <v>22</v>
      </c>
      <c r="AVW3">
        <v>4</v>
      </c>
      <c r="AVX3">
        <v>24</v>
      </c>
      <c r="AVY3">
        <v>5</v>
      </c>
      <c r="AVZ3">
        <v>10</v>
      </c>
      <c r="AWA3">
        <v>12</v>
      </c>
      <c r="AWB3">
        <v>10</v>
      </c>
      <c r="AWC3">
        <v>11</v>
      </c>
      <c r="AWD3">
        <v>0</v>
      </c>
      <c r="AWE3">
        <v>0</v>
      </c>
      <c r="AWF3">
        <v>275.5</v>
      </c>
      <c r="AWG3">
        <v>22</v>
      </c>
      <c r="AWH3">
        <v>4</v>
      </c>
      <c r="AWI3">
        <v>25</v>
      </c>
      <c r="AWJ3">
        <v>5</v>
      </c>
      <c r="AWK3">
        <v>10</v>
      </c>
      <c r="AWL3">
        <v>12</v>
      </c>
      <c r="AWM3">
        <v>10</v>
      </c>
      <c r="AWN3">
        <v>11</v>
      </c>
      <c r="AWO3">
        <v>0</v>
      </c>
      <c r="AWP3">
        <v>0</v>
      </c>
      <c r="AWQ3">
        <v>1077</v>
      </c>
      <c r="AWR3">
        <v>20</v>
      </c>
      <c r="AWS3">
        <v>4</v>
      </c>
      <c r="AWT3">
        <v>23</v>
      </c>
      <c r="AWU3">
        <v>5</v>
      </c>
      <c r="AWV3">
        <v>40</v>
      </c>
      <c r="AWW3">
        <v>15</v>
      </c>
      <c r="AWX3">
        <v>40</v>
      </c>
      <c r="AWY3">
        <v>15</v>
      </c>
      <c r="AWZ3">
        <v>0</v>
      </c>
      <c r="AXA3">
        <v>0</v>
      </c>
      <c r="AXB3">
        <v>1077</v>
      </c>
      <c r="AXC3">
        <v>20</v>
      </c>
      <c r="AXD3">
        <v>4</v>
      </c>
      <c r="AXE3">
        <v>24</v>
      </c>
      <c r="AXF3">
        <v>5</v>
      </c>
      <c r="AXG3">
        <v>40</v>
      </c>
      <c r="AXH3">
        <v>15</v>
      </c>
      <c r="AXI3">
        <v>40</v>
      </c>
      <c r="AXJ3">
        <v>15</v>
      </c>
      <c r="AXK3">
        <v>0</v>
      </c>
      <c r="AXL3">
        <v>0</v>
      </c>
      <c r="AXM3">
        <v>1077</v>
      </c>
      <c r="AXN3">
        <v>20</v>
      </c>
      <c r="AXO3">
        <v>4</v>
      </c>
      <c r="AXP3">
        <v>25</v>
      </c>
      <c r="AXQ3">
        <v>5</v>
      </c>
      <c r="AXR3">
        <v>40</v>
      </c>
      <c r="AXS3">
        <v>15</v>
      </c>
      <c r="AXT3">
        <v>40</v>
      </c>
      <c r="AXU3">
        <v>15</v>
      </c>
      <c r="AXV3">
        <v>0</v>
      </c>
      <c r="AXW3">
        <v>0</v>
      </c>
      <c r="AXX3">
        <v>1077</v>
      </c>
      <c r="AXY3">
        <v>21</v>
      </c>
      <c r="AXZ3">
        <v>4</v>
      </c>
      <c r="AYA3">
        <v>23</v>
      </c>
      <c r="AYB3">
        <v>5</v>
      </c>
      <c r="AYC3">
        <v>40</v>
      </c>
      <c r="AYD3">
        <v>15</v>
      </c>
      <c r="AYE3">
        <v>40</v>
      </c>
      <c r="AYF3">
        <v>15</v>
      </c>
      <c r="AYG3">
        <v>0</v>
      </c>
      <c r="AYH3">
        <v>0</v>
      </c>
      <c r="AYI3">
        <v>1077</v>
      </c>
      <c r="AYJ3">
        <v>21</v>
      </c>
      <c r="AYK3">
        <v>4</v>
      </c>
      <c r="AYL3">
        <v>24</v>
      </c>
      <c r="AYM3">
        <v>5</v>
      </c>
      <c r="AYN3">
        <v>40</v>
      </c>
      <c r="AYO3">
        <v>15</v>
      </c>
      <c r="AYP3">
        <v>40</v>
      </c>
      <c r="AYQ3">
        <v>15</v>
      </c>
      <c r="AYR3">
        <v>0</v>
      </c>
      <c r="AYS3">
        <v>0</v>
      </c>
      <c r="AYT3">
        <v>1077</v>
      </c>
      <c r="AYU3">
        <v>21</v>
      </c>
      <c r="AYV3">
        <v>4</v>
      </c>
      <c r="AYW3">
        <v>25</v>
      </c>
      <c r="AYX3">
        <v>5</v>
      </c>
      <c r="AYY3">
        <v>40</v>
      </c>
      <c r="AYZ3">
        <v>15</v>
      </c>
      <c r="AZA3">
        <v>40</v>
      </c>
      <c r="AZB3">
        <v>15</v>
      </c>
      <c r="AZC3">
        <v>0</v>
      </c>
      <c r="AZD3">
        <v>0</v>
      </c>
      <c r="AZE3">
        <v>1077</v>
      </c>
      <c r="AZF3">
        <v>22</v>
      </c>
      <c r="AZG3">
        <v>4</v>
      </c>
      <c r="AZH3">
        <v>23</v>
      </c>
      <c r="AZI3">
        <v>5</v>
      </c>
      <c r="AZJ3">
        <v>40</v>
      </c>
      <c r="AZK3">
        <v>15</v>
      </c>
      <c r="AZL3">
        <v>40</v>
      </c>
      <c r="AZM3">
        <v>15</v>
      </c>
      <c r="AZN3">
        <v>0</v>
      </c>
      <c r="AZO3">
        <v>0</v>
      </c>
      <c r="AZP3">
        <v>1077</v>
      </c>
      <c r="AZQ3">
        <v>22</v>
      </c>
      <c r="AZR3">
        <v>4</v>
      </c>
      <c r="AZS3">
        <v>24</v>
      </c>
      <c r="AZT3">
        <v>5</v>
      </c>
      <c r="AZU3">
        <v>40</v>
      </c>
      <c r="AZV3">
        <v>15</v>
      </c>
      <c r="AZW3">
        <v>40</v>
      </c>
      <c r="AZX3">
        <v>15</v>
      </c>
      <c r="AZY3">
        <v>0</v>
      </c>
      <c r="AZZ3">
        <v>0</v>
      </c>
      <c r="BAA3">
        <v>1077</v>
      </c>
      <c r="BAB3">
        <v>22</v>
      </c>
      <c r="BAC3">
        <v>4</v>
      </c>
      <c r="BAD3">
        <v>25</v>
      </c>
      <c r="BAE3">
        <v>5</v>
      </c>
      <c r="BAF3">
        <v>40</v>
      </c>
      <c r="BAG3">
        <v>15</v>
      </c>
      <c r="BAH3">
        <v>40</v>
      </c>
      <c r="BAI3">
        <v>15</v>
      </c>
      <c r="BAJ3">
        <v>0</v>
      </c>
      <c r="BAK3">
        <v>0</v>
      </c>
      <c r="BAL3">
        <v>275.5</v>
      </c>
      <c r="BAM3">
        <v>20</v>
      </c>
      <c r="BAN3">
        <v>4</v>
      </c>
      <c r="BAO3">
        <v>23</v>
      </c>
      <c r="BAP3">
        <v>7</v>
      </c>
      <c r="BAQ3">
        <v>10</v>
      </c>
      <c r="BAR3">
        <v>12</v>
      </c>
      <c r="BAS3">
        <v>10</v>
      </c>
      <c r="BAT3">
        <v>11</v>
      </c>
      <c r="BAU3">
        <v>0</v>
      </c>
      <c r="BAV3">
        <v>0</v>
      </c>
      <c r="BAW3">
        <v>275.5</v>
      </c>
      <c r="BAX3">
        <v>20</v>
      </c>
      <c r="BAY3">
        <v>4</v>
      </c>
      <c r="BAZ3">
        <v>24</v>
      </c>
      <c r="BBA3">
        <v>7</v>
      </c>
      <c r="BBB3">
        <v>10</v>
      </c>
      <c r="BBC3">
        <v>12</v>
      </c>
      <c r="BBD3">
        <v>10</v>
      </c>
      <c r="BBE3">
        <v>11</v>
      </c>
      <c r="BBF3">
        <v>0</v>
      </c>
      <c r="BBG3">
        <v>0</v>
      </c>
      <c r="BBH3">
        <v>275.5</v>
      </c>
      <c r="BBI3">
        <v>20</v>
      </c>
      <c r="BBJ3">
        <v>4</v>
      </c>
      <c r="BBK3">
        <v>25</v>
      </c>
      <c r="BBL3">
        <v>7</v>
      </c>
      <c r="BBM3">
        <v>10</v>
      </c>
      <c r="BBN3">
        <v>12</v>
      </c>
      <c r="BBO3">
        <v>10</v>
      </c>
      <c r="BBP3">
        <v>11</v>
      </c>
      <c r="BBQ3">
        <v>0</v>
      </c>
      <c r="BBR3">
        <v>0</v>
      </c>
      <c r="BBS3">
        <v>275.5</v>
      </c>
      <c r="BBT3">
        <v>21</v>
      </c>
      <c r="BBU3">
        <v>4</v>
      </c>
      <c r="BBV3">
        <v>23</v>
      </c>
      <c r="BBW3">
        <v>7</v>
      </c>
      <c r="BBX3">
        <v>10</v>
      </c>
      <c r="BBY3">
        <v>12</v>
      </c>
      <c r="BBZ3">
        <v>10</v>
      </c>
      <c r="BCA3">
        <v>11</v>
      </c>
      <c r="BCB3">
        <v>0</v>
      </c>
      <c r="BCC3">
        <v>0</v>
      </c>
      <c r="BCD3">
        <v>275.5</v>
      </c>
      <c r="BCE3">
        <v>21</v>
      </c>
      <c r="BCF3">
        <v>4</v>
      </c>
      <c r="BCG3">
        <v>24</v>
      </c>
      <c r="BCH3">
        <v>7</v>
      </c>
      <c r="BCI3">
        <v>10</v>
      </c>
      <c r="BCJ3">
        <v>12</v>
      </c>
      <c r="BCK3">
        <v>10</v>
      </c>
      <c r="BCL3">
        <v>11</v>
      </c>
      <c r="BCM3">
        <v>0</v>
      </c>
      <c r="BCN3">
        <v>0</v>
      </c>
      <c r="BCO3">
        <v>275.5</v>
      </c>
      <c r="BCP3">
        <v>21</v>
      </c>
      <c r="BCQ3">
        <v>4</v>
      </c>
      <c r="BCR3">
        <v>25</v>
      </c>
      <c r="BCS3">
        <v>7</v>
      </c>
      <c r="BCT3">
        <v>10</v>
      </c>
      <c r="BCU3">
        <v>12</v>
      </c>
      <c r="BCV3">
        <v>10</v>
      </c>
      <c r="BCW3">
        <v>11</v>
      </c>
      <c r="BCX3">
        <v>0</v>
      </c>
      <c r="BCY3">
        <v>0</v>
      </c>
      <c r="BCZ3">
        <v>275.5</v>
      </c>
      <c r="BDA3">
        <v>22</v>
      </c>
      <c r="BDB3">
        <v>4</v>
      </c>
      <c r="BDC3">
        <v>23</v>
      </c>
      <c r="BDD3">
        <v>7</v>
      </c>
      <c r="BDE3">
        <v>10</v>
      </c>
      <c r="BDF3">
        <v>12</v>
      </c>
      <c r="BDG3">
        <v>10</v>
      </c>
      <c r="BDH3">
        <v>11</v>
      </c>
      <c r="BDI3">
        <v>0</v>
      </c>
      <c r="BDJ3">
        <v>0</v>
      </c>
      <c r="BDK3">
        <v>275.5</v>
      </c>
      <c r="BDL3">
        <v>22</v>
      </c>
      <c r="BDM3">
        <v>4</v>
      </c>
      <c r="BDN3">
        <v>24</v>
      </c>
      <c r="BDO3">
        <v>7</v>
      </c>
      <c r="BDP3">
        <v>10</v>
      </c>
      <c r="BDQ3">
        <v>12</v>
      </c>
      <c r="BDR3">
        <v>10</v>
      </c>
      <c r="BDS3">
        <v>11</v>
      </c>
      <c r="BDT3">
        <v>0</v>
      </c>
      <c r="BDU3">
        <v>0</v>
      </c>
      <c r="BDV3">
        <v>275.5</v>
      </c>
      <c r="BDW3">
        <v>22</v>
      </c>
      <c r="BDX3">
        <v>4</v>
      </c>
      <c r="BDY3">
        <v>25</v>
      </c>
      <c r="BDZ3">
        <v>7</v>
      </c>
      <c r="BEA3">
        <v>10</v>
      </c>
      <c r="BEB3">
        <v>12</v>
      </c>
      <c r="BEC3">
        <v>10</v>
      </c>
      <c r="BED3">
        <v>11</v>
      </c>
      <c r="BEE3">
        <v>0</v>
      </c>
      <c r="BEF3">
        <v>0</v>
      </c>
      <c r="BEG3">
        <v>1077</v>
      </c>
      <c r="BEH3">
        <v>20</v>
      </c>
      <c r="BEI3">
        <v>4</v>
      </c>
      <c r="BEJ3">
        <v>23</v>
      </c>
      <c r="BEK3">
        <v>7</v>
      </c>
      <c r="BEL3">
        <v>40</v>
      </c>
      <c r="BEM3">
        <v>15</v>
      </c>
      <c r="BEN3">
        <v>40</v>
      </c>
      <c r="BEO3">
        <v>15</v>
      </c>
      <c r="BEP3">
        <v>0</v>
      </c>
      <c r="BEQ3">
        <v>0</v>
      </c>
      <c r="BER3">
        <v>1077</v>
      </c>
      <c r="BES3">
        <v>20</v>
      </c>
      <c r="BET3">
        <v>4</v>
      </c>
      <c r="BEU3">
        <v>24</v>
      </c>
      <c r="BEV3">
        <v>7</v>
      </c>
      <c r="BEW3">
        <v>40</v>
      </c>
      <c r="BEX3">
        <v>15</v>
      </c>
      <c r="BEY3">
        <v>40</v>
      </c>
      <c r="BEZ3">
        <v>15</v>
      </c>
      <c r="BFA3">
        <v>0</v>
      </c>
      <c r="BFB3">
        <v>0</v>
      </c>
      <c r="BFC3">
        <v>1077</v>
      </c>
      <c r="BFD3">
        <v>20</v>
      </c>
      <c r="BFE3">
        <v>4</v>
      </c>
      <c r="BFF3">
        <v>25</v>
      </c>
      <c r="BFG3">
        <v>7</v>
      </c>
      <c r="BFH3">
        <v>40</v>
      </c>
      <c r="BFI3">
        <v>15</v>
      </c>
      <c r="BFJ3">
        <v>40</v>
      </c>
      <c r="BFK3">
        <v>15</v>
      </c>
      <c r="BFL3">
        <v>0</v>
      </c>
      <c r="BFM3">
        <v>0</v>
      </c>
      <c r="BFN3">
        <v>1077</v>
      </c>
      <c r="BFO3">
        <v>21</v>
      </c>
      <c r="BFP3">
        <v>4</v>
      </c>
      <c r="BFQ3">
        <v>23</v>
      </c>
      <c r="BFR3">
        <v>7</v>
      </c>
      <c r="BFS3">
        <v>40</v>
      </c>
      <c r="BFT3">
        <v>15</v>
      </c>
      <c r="BFU3">
        <v>40</v>
      </c>
      <c r="BFV3">
        <v>15</v>
      </c>
      <c r="BFW3">
        <v>0</v>
      </c>
      <c r="BFX3">
        <v>0</v>
      </c>
      <c r="BFY3">
        <v>1077</v>
      </c>
      <c r="BFZ3">
        <v>21</v>
      </c>
      <c r="BGA3">
        <v>4</v>
      </c>
      <c r="BGB3">
        <v>24</v>
      </c>
      <c r="BGC3">
        <v>7</v>
      </c>
      <c r="BGD3">
        <v>40</v>
      </c>
      <c r="BGE3">
        <v>15</v>
      </c>
      <c r="BGF3">
        <v>40</v>
      </c>
      <c r="BGG3">
        <v>15</v>
      </c>
      <c r="BGH3">
        <v>0</v>
      </c>
      <c r="BGI3">
        <v>0</v>
      </c>
      <c r="BGJ3">
        <v>1077</v>
      </c>
      <c r="BGK3">
        <v>21</v>
      </c>
      <c r="BGL3">
        <v>4</v>
      </c>
      <c r="BGM3">
        <v>25</v>
      </c>
      <c r="BGN3">
        <v>7</v>
      </c>
      <c r="BGO3">
        <v>40</v>
      </c>
      <c r="BGP3">
        <v>15</v>
      </c>
      <c r="BGQ3">
        <v>40</v>
      </c>
      <c r="BGR3">
        <v>15</v>
      </c>
      <c r="BGS3">
        <v>0</v>
      </c>
      <c r="BGT3">
        <v>0</v>
      </c>
      <c r="BGU3">
        <v>1077</v>
      </c>
      <c r="BGV3">
        <v>22</v>
      </c>
      <c r="BGW3">
        <v>4</v>
      </c>
      <c r="BGX3">
        <v>23</v>
      </c>
      <c r="BGY3">
        <v>7</v>
      </c>
      <c r="BGZ3">
        <v>40</v>
      </c>
      <c r="BHA3">
        <v>15</v>
      </c>
      <c r="BHB3">
        <v>40</v>
      </c>
      <c r="BHC3">
        <v>15</v>
      </c>
      <c r="BHD3">
        <v>0</v>
      </c>
      <c r="BHE3">
        <v>0</v>
      </c>
      <c r="BHF3">
        <v>1077</v>
      </c>
      <c r="BHG3">
        <v>22</v>
      </c>
      <c r="BHH3">
        <v>4</v>
      </c>
      <c r="BHI3">
        <v>24</v>
      </c>
      <c r="BHJ3">
        <v>7</v>
      </c>
      <c r="BHK3">
        <v>40</v>
      </c>
      <c r="BHL3">
        <v>15</v>
      </c>
      <c r="BHM3">
        <v>40</v>
      </c>
      <c r="BHN3">
        <v>15</v>
      </c>
      <c r="BHO3">
        <v>0</v>
      </c>
      <c r="BHP3">
        <v>0</v>
      </c>
      <c r="BHQ3">
        <v>1077</v>
      </c>
      <c r="BHR3">
        <v>22</v>
      </c>
      <c r="BHS3">
        <v>4</v>
      </c>
      <c r="BHT3">
        <v>25</v>
      </c>
      <c r="BHU3">
        <v>7</v>
      </c>
      <c r="BHV3">
        <v>40</v>
      </c>
      <c r="BHW3">
        <v>15</v>
      </c>
      <c r="BHX3">
        <v>40</v>
      </c>
      <c r="BHY3">
        <v>15</v>
      </c>
    </row>
    <row r="4" spans="1:1585" x14ac:dyDescent="0.3">
      <c r="A4" t="s">
        <v>196</v>
      </c>
      <c r="B4">
        <v>0</v>
      </c>
      <c r="C4">
        <v>0</v>
      </c>
      <c r="D4">
        <v>393.5</v>
      </c>
      <c r="E4">
        <v>20</v>
      </c>
      <c r="F4">
        <v>3</v>
      </c>
      <c r="G4">
        <v>23</v>
      </c>
      <c r="H4">
        <v>5</v>
      </c>
      <c r="I4" s="7">
        <v>10</v>
      </c>
      <c r="J4">
        <v>12</v>
      </c>
      <c r="K4">
        <v>10</v>
      </c>
      <c r="L4">
        <v>11</v>
      </c>
      <c r="M4">
        <v>0</v>
      </c>
      <c r="N4">
        <v>0</v>
      </c>
      <c r="O4">
        <v>393.5</v>
      </c>
      <c r="P4">
        <v>20</v>
      </c>
      <c r="Q4">
        <v>3</v>
      </c>
      <c r="R4">
        <v>24</v>
      </c>
      <c r="S4">
        <v>5</v>
      </c>
      <c r="T4">
        <v>10</v>
      </c>
      <c r="U4">
        <v>12</v>
      </c>
      <c r="V4">
        <v>10</v>
      </c>
      <c r="W4">
        <v>11</v>
      </c>
      <c r="X4">
        <v>0</v>
      </c>
      <c r="Y4">
        <v>0</v>
      </c>
      <c r="Z4">
        <v>393.5</v>
      </c>
      <c r="AA4">
        <v>20</v>
      </c>
      <c r="AB4">
        <v>3</v>
      </c>
      <c r="AC4">
        <v>25</v>
      </c>
      <c r="AD4">
        <v>5</v>
      </c>
      <c r="AE4">
        <v>10</v>
      </c>
      <c r="AF4">
        <v>12</v>
      </c>
      <c r="AG4">
        <v>10</v>
      </c>
      <c r="AH4">
        <v>11</v>
      </c>
      <c r="AI4">
        <v>0</v>
      </c>
      <c r="AJ4">
        <v>0</v>
      </c>
      <c r="AK4">
        <v>393.5</v>
      </c>
      <c r="AL4">
        <v>21</v>
      </c>
      <c r="AM4">
        <v>3</v>
      </c>
      <c r="AN4">
        <v>23</v>
      </c>
      <c r="AO4">
        <v>5</v>
      </c>
      <c r="AP4">
        <v>10</v>
      </c>
      <c r="AQ4">
        <v>12</v>
      </c>
      <c r="AR4">
        <v>10</v>
      </c>
      <c r="AS4">
        <v>11</v>
      </c>
      <c r="AT4">
        <v>0</v>
      </c>
      <c r="AU4">
        <v>0</v>
      </c>
      <c r="AV4">
        <v>393.5</v>
      </c>
      <c r="AW4">
        <v>21</v>
      </c>
      <c r="AX4">
        <v>3</v>
      </c>
      <c r="AY4">
        <v>24</v>
      </c>
      <c r="AZ4">
        <v>5</v>
      </c>
      <c r="BA4">
        <v>10</v>
      </c>
      <c r="BB4">
        <v>12</v>
      </c>
      <c r="BC4">
        <v>10</v>
      </c>
      <c r="BD4">
        <v>11</v>
      </c>
      <c r="BE4">
        <v>0</v>
      </c>
      <c r="BF4">
        <v>0</v>
      </c>
      <c r="BG4">
        <v>393.5</v>
      </c>
      <c r="BH4">
        <v>21</v>
      </c>
      <c r="BI4">
        <v>3</v>
      </c>
      <c r="BJ4">
        <v>25</v>
      </c>
      <c r="BK4">
        <v>5</v>
      </c>
      <c r="BL4">
        <v>10</v>
      </c>
      <c r="BM4">
        <v>12</v>
      </c>
      <c r="BN4">
        <v>10</v>
      </c>
      <c r="BO4">
        <v>11</v>
      </c>
      <c r="BP4">
        <v>0</v>
      </c>
      <c r="BQ4">
        <v>0</v>
      </c>
      <c r="BR4">
        <v>393.5</v>
      </c>
      <c r="BS4">
        <v>22</v>
      </c>
      <c r="BT4">
        <v>3</v>
      </c>
      <c r="BU4">
        <v>23</v>
      </c>
      <c r="BV4">
        <v>5</v>
      </c>
      <c r="BW4">
        <v>10</v>
      </c>
      <c r="BX4">
        <v>12</v>
      </c>
      <c r="BY4">
        <v>10</v>
      </c>
      <c r="BZ4">
        <v>11</v>
      </c>
      <c r="CA4">
        <v>0</v>
      </c>
      <c r="CB4">
        <v>0</v>
      </c>
      <c r="CC4">
        <v>393.5</v>
      </c>
      <c r="CD4">
        <v>22</v>
      </c>
      <c r="CE4">
        <v>3</v>
      </c>
      <c r="CF4">
        <v>24</v>
      </c>
      <c r="CG4">
        <v>5</v>
      </c>
      <c r="CH4">
        <v>10</v>
      </c>
      <c r="CI4">
        <v>12</v>
      </c>
      <c r="CJ4">
        <v>10</v>
      </c>
      <c r="CK4">
        <v>11</v>
      </c>
      <c r="CL4">
        <v>0</v>
      </c>
      <c r="CM4">
        <v>0</v>
      </c>
      <c r="CN4">
        <v>393.5</v>
      </c>
      <c r="CO4">
        <v>22</v>
      </c>
      <c r="CP4">
        <v>3</v>
      </c>
      <c r="CQ4">
        <v>25</v>
      </c>
      <c r="CR4">
        <v>5</v>
      </c>
      <c r="CS4">
        <v>10</v>
      </c>
      <c r="CT4">
        <v>12</v>
      </c>
      <c r="CU4">
        <v>10</v>
      </c>
      <c r="CV4">
        <v>11</v>
      </c>
      <c r="CW4">
        <v>0</v>
      </c>
      <c r="CX4">
        <v>0</v>
      </c>
      <c r="CY4">
        <v>1549</v>
      </c>
      <c r="CZ4">
        <v>20</v>
      </c>
      <c r="DA4">
        <v>3</v>
      </c>
      <c r="DB4">
        <v>23</v>
      </c>
      <c r="DC4">
        <v>5</v>
      </c>
      <c r="DD4">
        <v>40</v>
      </c>
      <c r="DE4">
        <v>15</v>
      </c>
      <c r="DF4">
        <v>40</v>
      </c>
      <c r="DG4">
        <v>15</v>
      </c>
      <c r="DH4">
        <v>0</v>
      </c>
      <c r="DI4">
        <v>0</v>
      </c>
      <c r="DJ4">
        <v>1549</v>
      </c>
      <c r="DK4">
        <v>20</v>
      </c>
      <c r="DL4">
        <v>3</v>
      </c>
      <c r="DM4">
        <v>24</v>
      </c>
      <c r="DN4">
        <v>5</v>
      </c>
      <c r="DO4">
        <v>40</v>
      </c>
      <c r="DP4">
        <v>15</v>
      </c>
      <c r="DQ4">
        <v>40</v>
      </c>
      <c r="DR4">
        <v>15</v>
      </c>
      <c r="DS4">
        <v>0</v>
      </c>
      <c r="DT4">
        <v>0</v>
      </c>
      <c r="DU4">
        <v>1549</v>
      </c>
      <c r="DV4">
        <v>20</v>
      </c>
      <c r="DW4">
        <v>3</v>
      </c>
      <c r="DX4">
        <v>25</v>
      </c>
      <c r="DY4">
        <v>5</v>
      </c>
      <c r="DZ4">
        <v>40</v>
      </c>
      <c r="EA4">
        <v>15</v>
      </c>
      <c r="EB4">
        <v>40</v>
      </c>
      <c r="EC4">
        <v>15</v>
      </c>
      <c r="ED4">
        <v>0</v>
      </c>
      <c r="EE4">
        <v>0</v>
      </c>
      <c r="EF4">
        <v>1549</v>
      </c>
      <c r="EG4">
        <v>21</v>
      </c>
      <c r="EH4">
        <v>3</v>
      </c>
      <c r="EI4">
        <v>23</v>
      </c>
      <c r="EJ4">
        <v>5</v>
      </c>
      <c r="EK4">
        <v>40</v>
      </c>
      <c r="EL4">
        <v>15</v>
      </c>
      <c r="EM4">
        <v>40</v>
      </c>
      <c r="EN4">
        <v>15</v>
      </c>
      <c r="EO4">
        <v>0</v>
      </c>
      <c r="EP4">
        <v>0</v>
      </c>
      <c r="EQ4">
        <v>1549</v>
      </c>
      <c r="ER4">
        <v>21</v>
      </c>
      <c r="ES4">
        <v>3</v>
      </c>
      <c r="ET4">
        <v>24</v>
      </c>
      <c r="EU4">
        <v>5</v>
      </c>
      <c r="EV4">
        <v>40</v>
      </c>
      <c r="EW4">
        <v>15</v>
      </c>
      <c r="EX4">
        <v>40</v>
      </c>
      <c r="EY4">
        <v>15</v>
      </c>
      <c r="EZ4">
        <v>0</v>
      </c>
      <c r="FA4">
        <v>0</v>
      </c>
      <c r="FB4">
        <v>1549</v>
      </c>
      <c r="FC4">
        <v>21</v>
      </c>
      <c r="FD4">
        <v>3</v>
      </c>
      <c r="FE4">
        <v>25</v>
      </c>
      <c r="FF4">
        <v>5</v>
      </c>
      <c r="FG4">
        <v>40</v>
      </c>
      <c r="FH4">
        <v>15</v>
      </c>
      <c r="FI4">
        <v>40</v>
      </c>
      <c r="FJ4">
        <v>15</v>
      </c>
      <c r="FK4">
        <v>0</v>
      </c>
      <c r="FL4">
        <v>0</v>
      </c>
      <c r="FM4">
        <v>1549</v>
      </c>
      <c r="FN4">
        <v>22</v>
      </c>
      <c r="FO4">
        <v>3</v>
      </c>
      <c r="FP4">
        <v>23</v>
      </c>
      <c r="FQ4">
        <v>5</v>
      </c>
      <c r="FR4">
        <v>40</v>
      </c>
      <c r="FS4">
        <v>15</v>
      </c>
      <c r="FT4">
        <v>40</v>
      </c>
      <c r="FU4">
        <v>15</v>
      </c>
      <c r="FV4">
        <v>0</v>
      </c>
      <c r="FW4">
        <v>0</v>
      </c>
      <c r="FX4">
        <v>1549</v>
      </c>
      <c r="FY4">
        <v>22</v>
      </c>
      <c r="FZ4">
        <v>3</v>
      </c>
      <c r="GA4">
        <v>24</v>
      </c>
      <c r="GB4">
        <v>5</v>
      </c>
      <c r="GC4">
        <v>40</v>
      </c>
      <c r="GD4">
        <v>15</v>
      </c>
      <c r="GE4">
        <v>40</v>
      </c>
      <c r="GF4">
        <v>15</v>
      </c>
      <c r="GG4">
        <v>0</v>
      </c>
      <c r="GH4">
        <v>0</v>
      </c>
      <c r="GI4">
        <v>1549</v>
      </c>
      <c r="GJ4">
        <v>22</v>
      </c>
      <c r="GK4">
        <v>3</v>
      </c>
      <c r="GL4">
        <v>25</v>
      </c>
      <c r="GM4">
        <v>5</v>
      </c>
      <c r="GN4">
        <v>40</v>
      </c>
      <c r="GO4">
        <v>15</v>
      </c>
      <c r="GP4">
        <v>40</v>
      </c>
      <c r="GQ4">
        <v>15</v>
      </c>
      <c r="GR4">
        <v>0</v>
      </c>
      <c r="GS4">
        <v>0</v>
      </c>
      <c r="GT4">
        <v>393.5</v>
      </c>
      <c r="GU4">
        <v>20</v>
      </c>
      <c r="GV4">
        <v>3</v>
      </c>
      <c r="GW4">
        <v>23</v>
      </c>
      <c r="GX4">
        <v>7</v>
      </c>
      <c r="GY4">
        <v>10</v>
      </c>
      <c r="GZ4">
        <v>12</v>
      </c>
      <c r="HA4">
        <v>10</v>
      </c>
      <c r="HB4">
        <v>11</v>
      </c>
      <c r="HC4">
        <v>0</v>
      </c>
      <c r="HD4">
        <v>0</v>
      </c>
      <c r="HE4">
        <v>393.5</v>
      </c>
      <c r="HF4">
        <v>20</v>
      </c>
      <c r="HG4">
        <v>3</v>
      </c>
      <c r="HH4">
        <v>24</v>
      </c>
      <c r="HI4">
        <v>7</v>
      </c>
      <c r="HJ4">
        <v>10</v>
      </c>
      <c r="HK4">
        <v>12</v>
      </c>
      <c r="HL4">
        <v>10</v>
      </c>
      <c r="HM4">
        <v>11</v>
      </c>
      <c r="HN4">
        <v>0</v>
      </c>
      <c r="HO4">
        <v>0</v>
      </c>
      <c r="HP4">
        <v>393.5</v>
      </c>
      <c r="HQ4">
        <v>20</v>
      </c>
      <c r="HR4">
        <v>3</v>
      </c>
      <c r="HS4">
        <v>25</v>
      </c>
      <c r="HT4">
        <v>7</v>
      </c>
      <c r="HU4">
        <v>10</v>
      </c>
      <c r="HV4">
        <v>12</v>
      </c>
      <c r="HW4">
        <v>10</v>
      </c>
      <c r="HX4">
        <v>11</v>
      </c>
      <c r="HY4">
        <v>0</v>
      </c>
      <c r="HZ4">
        <v>0</v>
      </c>
      <c r="IA4">
        <v>393.5</v>
      </c>
      <c r="IB4">
        <v>21</v>
      </c>
      <c r="IC4">
        <v>3</v>
      </c>
      <c r="ID4">
        <v>23</v>
      </c>
      <c r="IE4">
        <v>7</v>
      </c>
      <c r="IF4">
        <v>10</v>
      </c>
      <c r="IG4">
        <v>12</v>
      </c>
      <c r="IH4">
        <v>10</v>
      </c>
      <c r="II4">
        <v>11</v>
      </c>
      <c r="IJ4">
        <v>0</v>
      </c>
      <c r="IK4">
        <v>0</v>
      </c>
      <c r="IL4">
        <v>393.5</v>
      </c>
      <c r="IM4">
        <v>21</v>
      </c>
      <c r="IN4">
        <v>3</v>
      </c>
      <c r="IO4">
        <v>24</v>
      </c>
      <c r="IP4">
        <v>7</v>
      </c>
      <c r="IQ4">
        <v>10</v>
      </c>
      <c r="IR4">
        <v>12</v>
      </c>
      <c r="IS4">
        <v>10</v>
      </c>
      <c r="IT4">
        <v>11</v>
      </c>
      <c r="IU4">
        <v>0</v>
      </c>
      <c r="IV4">
        <v>0</v>
      </c>
      <c r="IW4">
        <v>393.5</v>
      </c>
      <c r="IX4">
        <v>21</v>
      </c>
      <c r="IY4">
        <v>3</v>
      </c>
      <c r="IZ4">
        <v>25</v>
      </c>
      <c r="JA4">
        <v>7</v>
      </c>
      <c r="JB4">
        <v>10</v>
      </c>
      <c r="JC4">
        <v>12</v>
      </c>
      <c r="JD4">
        <v>10</v>
      </c>
      <c r="JE4">
        <v>11</v>
      </c>
      <c r="JF4">
        <v>0</v>
      </c>
      <c r="JG4">
        <v>0</v>
      </c>
      <c r="JH4">
        <v>393.5</v>
      </c>
      <c r="JI4">
        <v>22</v>
      </c>
      <c r="JJ4">
        <v>3</v>
      </c>
      <c r="JK4">
        <v>23</v>
      </c>
      <c r="JL4">
        <v>7</v>
      </c>
      <c r="JM4">
        <v>10</v>
      </c>
      <c r="JN4">
        <v>12</v>
      </c>
      <c r="JO4">
        <v>10</v>
      </c>
      <c r="JP4">
        <v>11</v>
      </c>
      <c r="JQ4">
        <v>0</v>
      </c>
      <c r="JR4">
        <v>0</v>
      </c>
      <c r="JS4">
        <v>393.5</v>
      </c>
      <c r="JT4">
        <v>22</v>
      </c>
      <c r="JU4">
        <v>3</v>
      </c>
      <c r="JV4">
        <v>24</v>
      </c>
      <c r="JW4">
        <v>7</v>
      </c>
      <c r="JX4">
        <v>10</v>
      </c>
      <c r="JY4">
        <v>12</v>
      </c>
      <c r="JZ4">
        <v>10</v>
      </c>
      <c r="KA4">
        <v>11</v>
      </c>
      <c r="KB4">
        <v>0</v>
      </c>
      <c r="KC4">
        <v>0</v>
      </c>
      <c r="KD4">
        <v>393.5</v>
      </c>
      <c r="KE4">
        <v>22</v>
      </c>
      <c r="KF4">
        <v>3</v>
      </c>
      <c r="KG4">
        <v>25</v>
      </c>
      <c r="KH4">
        <v>7</v>
      </c>
      <c r="KI4">
        <v>10</v>
      </c>
      <c r="KJ4">
        <v>12</v>
      </c>
      <c r="KK4">
        <v>10</v>
      </c>
      <c r="KL4">
        <v>11</v>
      </c>
      <c r="KM4">
        <v>0</v>
      </c>
      <c r="KN4">
        <v>0</v>
      </c>
      <c r="KO4">
        <v>1549</v>
      </c>
      <c r="KP4">
        <v>20</v>
      </c>
      <c r="KQ4">
        <v>3</v>
      </c>
      <c r="KR4">
        <v>23</v>
      </c>
      <c r="KS4">
        <v>7</v>
      </c>
      <c r="KT4">
        <v>40</v>
      </c>
      <c r="KU4">
        <v>15</v>
      </c>
      <c r="KV4">
        <v>40</v>
      </c>
      <c r="KW4">
        <v>15</v>
      </c>
      <c r="KX4">
        <v>0</v>
      </c>
      <c r="KY4">
        <v>0</v>
      </c>
      <c r="KZ4">
        <v>1549</v>
      </c>
      <c r="LA4">
        <v>20</v>
      </c>
      <c r="LB4">
        <v>3</v>
      </c>
      <c r="LC4">
        <v>24</v>
      </c>
      <c r="LD4">
        <v>7</v>
      </c>
      <c r="LE4">
        <v>40</v>
      </c>
      <c r="LF4">
        <v>15</v>
      </c>
      <c r="LG4">
        <v>40</v>
      </c>
      <c r="LH4">
        <v>15</v>
      </c>
      <c r="LI4">
        <v>0</v>
      </c>
      <c r="LJ4">
        <v>0</v>
      </c>
      <c r="LK4">
        <v>1549</v>
      </c>
      <c r="LL4">
        <v>20</v>
      </c>
      <c r="LM4">
        <v>3</v>
      </c>
      <c r="LN4">
        <v>25</v>
      </c>
      <c r="LO4">
        <v>7</v>
      </c>
      <c r="LP4">
        <v>40</v>
      </c>
      <c r="LQ4">
        <v>15</v>
      </c>
      <c r="LR4">
        <v>40</v>
      </c>
      <c r="LS4">
        <v>15</v>
      </c>
      <c r="LT4">
        <v>0</v>
      </c>
      <c r="LU4">
        <v>0</v>
      </c>
      <c r="LV4">
        <v>1549</v>
      </c>
      <c r="LW4">
        <v>21</v>
      </c>
      <c r="LX4">
        <v>3</v>
      </c>
      <c r="LY4">
        <v>23</v>
      </c>
      <c r="LZ4">
        <v>7</v>
      </c>
      <c r="MA4">
        <v>40</v>
      </c>
      <c r="MB4">
        <v>15</v>
      </c>
      <c r="MC4">
        <v>40</v>
      </c>
      <c r="MD4">
        <v>15</v>
      </c>
      <c r="ME4">
        <v>0</v>
      </c>
      <c r="MF4">
        <v>0</v>
      </c>
      <c r="MG4">
        <v>1549</v>
      </c>
      <c r="MH4">
        <v>21</v>
      </c>
      <c r="MI4">
        <v>3</v>
      </c>
      <c r="MJ4">
        <v>24</v>
      </c>
      <c r="MK4">
        <v>7</v>
      </c>
      <c r="ML4">
        <v>40</v>
      </c>
      <c r="MM4">
        <v>15</v>
      </c>
      <c r="MN4">
        <v>40</v>
      </c>
      <c r="MO4">
        <v>15</v>
      </c>
      <c r="MP4">
        <v>0</v>
      </c>
      <c r="MQ4">
        <v>0</v>
      </c>
      <c r="MR4">
        <v>1549</v>
      </c>
      <c r="MS4">
        <v>21</v>
      </c>
      <c r="MT4">
        <v>3</v>
      </c>
      <c r="MU4">
        <v>25</v>
      </c>
      <c r="MV4">
        <v>7</v>
      </c>
      <c r="MW4">
        <v>40</v>
      </c>
      <c r="MX4">
        <v>15</v>
      </c>
      <c r="MY4">
        <v>40</v>
      </c>
      <c r="MZ4">
        <v>15</v>
      </c>
      <c r="NA4">
        <v>0</v>
      </c>
      <c r="NB4">
        <v>0</v>
      </c>
      <c r="NC4">
        <v>1549</v>
      </c>
      <c r="ND4">
        <v>22</v>
      </c>
      <c r="NE4">
        <v>3</v>
      </c>
      <c r="NF4">
        <v>23</v>
      </c>
      <c r="NG4">
        <v>7</v>
      </c>
      <c r="NH4">
        <v>40</v>
      </c>
      <c r="NI4">
        <v>15</v>
      </c>
      <c r="NJ4">
        <v>40</v>
      </c>
      <c r="NK4">
        <v>15</v>
      </c>
      <c r="NL4">
        <v>0</v>
      </c>
      <c r="NM4">
        <v>0</v>
      </c>
      <c r="NN4">
        <v>1549</v>
      </c>
      <c r="NO4">
        <v>22</v>
      </c>
      <c r="NP4">
        <v>3</v>
      </c>
      <c r="NQ4">
        <v>24</v>
      </c>
      <c r="NR4">
        <v>7</v>
      </c>
      <c r="NS4">
        <v>40</v>
      </c>
      <c r="NT4">
        <v>15</v>
      </c>
      <c r="NU4">
        <v>40</v>
      </c>
      <c r="NV4">
        <v>15</v>
      </c>
      <c r="NW4">
        <v>0</v>
      </c>
      <c r="NX4">
        <v>0</v>
      </c>
      <c r="NY4">
        <v>1549</v>
      </c>
      <c r="NZ4">
        <v>22</v>
      </c>
      <c r="OA4">
        <v>3</v>
      </c>
      <c r="OB4">
        <v>25</v>
      </c>
      <c r="OC4">
        <v>7</v>
      </c>
      <c r="OD4">
        <v>40</v>
      </c>
      <c r="OE4">
        <v>15</v>
      </c>
      <c r="OF4">
        <v>40</v>
      </c>
      <c r="OG4">
        <v>15</v>
      </c>
      <c r="OH4">
        <v>0</v>
      </c>
      <c r="OI4">
        <v>0</v>
      </c>
      <c r="OJ4">
        <v>393.5</v>
      </c>
      <c r="OK4">
        <v>20</v>
      </c>
      <c r="OL4">
        <v>4</v>
      </c>
      <c r="OM4">
        <v>23</v>
      </c>
      <c r="ON4">
        <v>5</v>
      </c>
      <c r="OO4">
        <v>10</v>
      </c>
      <c r="OP4">
        <v>12</v>
      </c>
      <c r="OQ4">
        <v>10</v>
      </c>
      <c r="OR4">
        <v>11</v>
      </c>
      <c r="OS4">
        <v>0</v>
      </c>
      <c r="OT4">
        <v>0</v>
      </c>
      <c r="OU4">
        <v>393.5</v>
      </c>
      <c r="OV4">
        <v>20</v>
      </c>
      <c r="OW4">
        <v>4</v>
      </c>
      <c r="OX4">
        <v>24</v>
      </c>
      <c r="OY4">
        <v>5</v>
      </c>
      <c r="OZ4">
        <v>10</v>
      </c>
      <c r="PA4">
        <v>12</v>
      </c>
      <c r="PB4">
        <v>10</v>
      </c>
      <c r="PC4">
        <v>11</v>
      </c>
      <c r="PD4">
        <v>0</v>
      </c>
      <c r="PE4">
        <v>0</v>
      </c>
      <c r="PF4">
        <v>393.5</v>
      </c>
      <c r="PG4">
        <v>20</v>
      </c>
      <c r="PH4">
        <v>4</v>
      </c>
      <c r="PI4">
        <v>25</v>
      </c>
      <c r="PJ4">
        <v>5</v>
      </c>
      <c r="PK4">
        <v>10</v>
      </c>
      <c r="PL4">
        <v>12</v>
      </c>
      <c r="PM4">
        <v>10</v>
      </c>
      <c r="PN4">
        <v>11</v>
      </c>
      <c r="PO4">
        <v>0</v>
      </c>
      <c r="PP4">
        <v>0</v>
      </c>
      <c r="PQ4">
        <v>393.5</v>
      </c>
      <c r="PR4">
        <v>21</v>
      </c>
      <c r="PS4">
        <v>4</v>
      </c>
      <c r="PT4">
        <v>23</v>
      </c>
      <c r="PU4">
        <v>5</v>
      </c>
      <c r="PV4">
        <v>10</v>
      </c>
      <c r="PW4">
        <v>12</v>
      </c>
      <c r="PX4">
        <v>10</v>
      </c>
      <c r="PY4">
        <v>11</v>
      </c>
      <c r="PZ4">
        <v>0</v>
      </c>
      <c r="QA4">
        <v>0</v>
      </c>
      <c r="QB4">
        <v>393.5</v>
      </c>
      <c r="QC4">
        <v>21</v>
      </c>
      <c r="QD4">
        <v>4</v>
      </c>
      <c r="QE4">
        <v>24</v>
      </c>
      <c r="QF4">
        <v>5</v>
      </c>
      <c r="QG4">
        <v>10</v>
      </c>
      <c r="QH4">
        <v>12</v>
      </c>
      <c r="QI4">
        <v>10</v>
      </c>
      <c r="QJ4">
        <v>11</v>
      </c>
      <c r="QK4">
        <v>0</v>
      </c>
      <c r="QL4">
        <v>0</v>
      </c>
      <c r="QM4">
        <v>393.5</v>
      </c>
      <c r="QN4">
        <v>21</v>
      </c>
      <c r="QO4">
        <v>4</v>
      </c>
      <c r="QP4">
        <v>25</v>
      </c>
      <c r="QQ4">
        <v>5</v>
      </c>
      <c r="QR4">
        <v>10</v>
      </c>
      <c r="QS4">
        <v>12</v>
      </c>
      <c r="QT4">
        <v>10</v>
      </c>
      <c r="QU4">
        <v>11</v>
      </c>
      <c r="QV4">
        <v>0</v>
      </c>
      <c r="QW4">
        <v>0</v>
      </c>
      <c r="QX4">
        <v>393.5</v>
      </c>
      <c r="QY4">
        <v>22</v>
      </c>
      <c r="QZ4">
        <v>4</v>
      </c>
      <c r="RA4">
        <v>23</v>
      </c>
      <c r="RB4">
        <v>5</v>
      </c>
      <c r="RC4">
        <v>10</v>
      </c>
      <c r="RD4">
        <v>12</v>
      </c>
      <c r="RE4">
        <v>10</v>
      </c>
      <c r="RF4">
        <v>11</v>
      </c>
      <c r="RG4">
        <v>0</v>
      </c>
      <c r="RH4">
        <v>0</v>
      </c>
      <c r="RI4">
        <v>393.5</v>
      </c>
      <c r="RJ4">
        <v>22</v>
      </c>
      <c r="RK4">
        <v>4</v>
      </c>
      <c r="RL4">
        <v>24</v>
      </c>
      <c r="RM4">
        <v>5</v>
      </c>
      <c r="RN4">
        <v>10</v>
      </c>
      <c r="RO4">
        <v>12</v>
      </c>
      <c r="RP4">
        <v>10</v>
      </c>
      <c r="RQ4">
        <v>11</v>
      </c>
      <c r="RR4">
        <v>0</v>
      </c>
      <c r="RS4">
        <v>0</v>
      </c>
      <c r="RT4">
        <v>393.5</v>
      </c>
      <c r="RU4">
        <v>22</v>
      </c>
      <c r="RV4">
        <v>4</v>
      </c>
      <c r="RW4">
        <v>25</v>
      </c>
      <c r="RX4">
        <v>5</v>
      </c>
      <c r="RY4">
        <v>10</v>
      </c>
      <c r="RZ4">
        <v>12</v>
      </c>
      <c r="SA4">
        <v>10</v>
      </c>
      <c r="SB4">
        <v>11</v>
      </c>
      <c r="SC4">
        <v>0</v>
      </c>
      <c r="SD4">
        <v>0</v>
      </c>
      <c r="SE4">
        <v>1549</v>
      </c>
      <c r="SF4">
        <v>20</v>
      </c>
      <c r="SG4">
        <v>4</v>
      </c>
      <c r="SH4">
        <v>23</v>
      </c>
      <c r="SI4">
        <v>5</v>
      </c>
      <c r="SJ4">
        <v>40</v>
      </c>
      <c r="SK4">
        <v>15</v>
      </c>
      <c r="SL4">
        <v>40</v>
      </c>
      <c r="SM4">
        <v>15</v>
      </c>
      <c r="SN4">
        <v>0</v>
      </c>
      <c r="SO4">
        <v>0</v>
      </c>
      <c r="SP4">
        <v>1549</v>
      </c>
      <c r="SQ4">
        <v>20</v>
      </c>
      <c r="SR4">
        <v>4</v>
      </c>
      <c r="SS4">
        <v>24</v>
      </c>
      <c r="ST4">
        <v>5</v>
      </c>
      <c r="SU4">
        <v>40</v>
      </c>
      <c r="SV4">
        <v>15</v>
      </c>
      <c r="SW4">
        <v>40</v>
      </c>
      <c r="SX4">
        <v>15</v>
      </c>
      <c r="SY4">
        <v>0</v>
      </c>
      <c r="SZ4">
        <v>0</v>
      </c>
      <c r="TA4">
        <v>1549</v>
      </c>
      <c r="TB4">
        <v>20</v>
      </c>
      <c r="TC4">
        <v>4</v>
      </c>
      <c r="TD4">
        <v>25</v>
      </c>
      <c r="TE4">
        <v>5</v>
      </c>
      <c r="TF4">
        <v>40</v>
      </c>
      <c r="TG4">
        <v>15</v>
      </c>
      <c r="TH4">
        <v>40</v>
      </c>
      <c r="TI4">
        <v>15</v>
      </c>
      <c r="TJ4">
        <v>0</v>
      </c>
      <c r="TK4">
        <v>0</v>
      </c>
      <c r="TL4">
        <v>1549</v>
      </c>
      <c r="TM4">
        <v>21</v>
      </c>
      <c r="TN4">
        <v>4</v>
      </c>
      <c r="TO4">
        <v>23</v>
      </c>
      <c r="TP4">
        <v>5</v>
      </c>
      <c r="TQ4">
        <v>40</v>
      </c>
      <c r="TR4">
        <v>15</v>
      </c>
      <c r="TS4">
        <v>40</v>
      </c>
      <c r="TT4">
        <v>15</v>
      </c>
      <c r="TU4">
        <v>0</v>
      </c>
      <c r="TV4">
        <v>0</v>
      </c>
      <c r="TW4">
        <v>1549</v>
      </c>
      <c r="TX4">
        <v>21</v>
      </c>
      <c r="TY4">
        <v>4</v>
      </c>
      <c r="TZ4">
        <v>24</v>
      </c>
      <c r="UA4">
        <v>5</v>
      </c>
      <c r="UB4">
        <v>40</v>
      </c>
      <c r="UC4">
        <v>15</v>
      </c>
      <c r="UD4">
        <v>40</v>
      </c>
      <c r="UE4">
        <v>15</v>
      </c>
      <c r="UF4">
        <v>0</v>
      </c>
      <c r="UG4">
        <v>0</v>
      </c>
      <c r="UH4">
        <v>1549</v>
      </c>
      <c r="UI4">
        <v>21</v>
      </c>
      <c r="UJ4">
        <v>4</v>
      </c>
      <c r="UK4">
        <v>25</v>
      </c>
      <c r="UL4">
        <v>5</v>
      </c>
      <c r="UM4">
        <v>40</v>
      </c>
      <c r="UN4">
        <v>15</v>
      </c>
      <c r="UO4">
        <v>40</v>
      </c>
      <c r="UP4">
        <v>15</v>
      </c>
      <c r="UQ4">
        <v>0</v>
      </c>
      <c r="UR4">
        <v>0</v>
      </c>
      <c r="US4">
        <v>1549</v>
      </c>
      <c r="UT4">
        <v>22</v>
      </c>
      <c r="UU4">
        <v>4</v>
      </c>
      <c r="UV4">
        <v>23</v>
      </c>
      <c r="UW4">
        <v>5</v>
      </c>
      <c r="UX4">
        <v>40</v>
      </c>
      <c r="UY4">
        <v>15</v>
      </c>
      <c r="UZ4">
        <v>40</v>
      </c>
      <c r="VA4">
        <v>15</v>
      </c>
      <c r="VB4">
        <v>0</v>
      </c>
      <c r="VC4">
        <v>0</v>
      </c>
      <c r="VD4">
        <v>1549</v>
      </c>
      <c r="VE4">
        <v>22</v>
      </c>
      <c r="VF4">
        <v>4</v>
      </c>
      <c r="VG4">
        <v>24</v>
      </c>
      <c r="VH4">
        <v>5</v>
      </c>
      <c r="VI4">
        <v>40</v>
      </c>
      <c r="VJ4">
        <v>15</v>
      </c>
      <c r="VK4">
        <v>40</v>
      </c>
      <c r="VL4">
        <v>15</v>
      </c>
      <c r="VM4">
        <v>0</v>
      </c>
      <c r="VN4">
        <v>0</v>
      </c>
      <c r="VO4">
        <v>1549</v>
      </c>
      <c r="VP4">
        <v>22</v>
      </c>
      <c r="VQ4">
        <v>4</v>
      </c>
      <c r="VR4">
        <v>25</v>
      </c>
      <c r="VS4">
        <v>5</v>
      </c>
      <c r="VT4">
        <v>40</v>
      </c>
      <c r="VU4">
        <v>15</v>
      </c>
      <c r="VV4">
        <v>40</v>
      </c>
      <c r="VW4">
        <v>15</v>
      </c>
      <c r="VX4">
        <v>0</v>
      </c>
      <c r="VY4">
        <v>0</v>
      </c>
      <c r="VZ4">
        <v>393.5</v>
      </c>
      <c r="WA4">
        <v>20</v>
      </c>
      <c r="WB4">
        <v>4</v>
      </c>
      <c r="WC4">
        <v>23</v>
      </c>
      <c r="WD4">
        <v>7</v>
      </c>
      <c r="WE4">
        <v>10</v>
      </c>
      <c r="WF4">
        <v>12</v>
      </c>
      <c r="WG4">
        <v>10</v>
      </c>
      <c r="WH4">
        <v>11</v>
      </c>
      <c r="WI4">
        <v>0</v>
      </c>
      <c r="WJ4">
        <v>0</v>
      </c>
      <c r="WK4">
        <v>393.5</v>
      </c>
      <c r="WL4">
        <v>20</v>
      </c>
      <c r="WM4">
        <v>4</v>
      </c>
      <c r="WN4">
        <v>24</v>
      </c>
      <c r="WO4">
        <v>7</v>
      </c>
      <c r="WP4">
        <v>10</v>
      </c>
      <c r="WQ4">
        <v>12</v>
      </c>
      <c r="WR4">
        <v>10</v>
      </c>
      <c r="WS4">
        <v>11</v>
      </c>
      <c r="WT4">
        <v>0</v>
      </c>
      <c r="WU4">
        <v>0</v>
      </c>
      <c r="WV4">
        <v>393.5</v>
      </c>
      <c r="WW4">
        <v>20</v>
      </c>
      <c r="WX4">
        <v>4</v>
      </c>
      <c r="WY4">
        <v>25</v>
      </c>
      <c r="WZ4">
        <v>7</v>
      </c>
      <c r="XA4">
        <v>10</v>
      </c>
      <c r="XB4">
        <v>12</v>
      </c>
      <c r="XC4">
        <v>10</v>
      </c>
      <c r="XD4">
        <v>11</v>
      </c>
      <c r="XE4">
        <v>0</v>
      </c>
      <c r="XF4">
        <v>0</v>
      </c>
      <c r="XG4">
        <v>393.5</v>
      </c>
      <c r="XH4">
        <v>21</v>
      </c>
      <c r="XI4">
        <v>4</v>
      </c>
      <c r="XJ4">
        <v>23</v>
      </c>
      <c r="XK4">
        <v>7</v>
      </c>
      <c r="XL4">
        <v>10</v>
      </c>
      <c r="XM4">
        <v>12</v>
      </c>
      <c r="XN4">
        <v>10</v>
      </c>
      <c r="XO4">
        <v>11</v>
      </c>
      <c r="XP4">
        <v>0</v>
      </c>
      <c r="XQ4">
        <v>0</v>
      </c>
      <c r="XR4">
        <v>393.5</v>
      </c>
      <c r="XS4">
        <v>21</v>
      </c>
      <c r="XT4">
        <v>4</v>
      </c>
      <c r="XU4">
        <v>24</v>
      </c>
      <c r="XV4">
        <v>7</v>
      </c>
      <c r="XW4">
        <v>10</v>
      </c>
      <c r="XX4">
        <v>12</v>
      </c>
      <c r="XY4">
        <v>10</v>
      </c>
      <c r="XZ4">
        <v>11</v>
      </c>
      <c r="YA4">
        <v>0</v>
      </c>
      <c r="YB4">
        <v>0</v>
      </c>
      <c r="YC4">
        <v>393.5</v>
      </c>
      <c r="YD4">
        <v>21</v>
      </c>
      <c r="YE4">
        <v>4</v>
      </c>
      <c r="YF4">
        <v>25</v>
      </c>
      <c r="YG4">
        <v>7</v>
      </c>
      <c r="YH4">
        <v>10</v>
      </c>
      <c r="YI4">
        <v>12</v>
      </c>
      <c r="YJ4">
        <v>10</v>
      </c>
      <c r="YK4">
        <v>11</v>
      </c>
      <c r="YL4">
        <v>0</v>
      </c>
      <c r="YM4">
        <v>0</v>
      </c>
      <c r="YN4">
        <v>393.5</v>
      </c>
      <c r="YO4">
        <v>22</v>
      </c>
      <c r="YP4">
        <v>4</v>
      </c>
      <c r="YQ4">
        <v>23</v>
      </c>
      <c r="YR4">
        <v>7</v>
      </c>
      <c r="YS4">
        <v>10</v>
      </c>
      <c r="YT4">
        <v>12</v>
      </c>
      <c r="YU4">
        <v>10</v>
      </c>
      <c r="YV4">
        <v>11</v>
      </c>
      <c r="YW4">
        <v>0</v>
      </c>
      <c r="YX4">
        <v>0</v>
      </c>
      <c r="YY4">
        <v>393.5</v>
      </c>
      <c r="YZ4">
        <v>22</v>
      </c>
      <c r="ZA4">
        <v>4</v>
      </c>
      <c r="ZB4">
        <v>24</v>
      </c>
      <c r="ZC4">
        <v>7</v>
      </c>
      <c r="ZD4">
        <v>10</v>
      </c>
      <c r="ZE4">
        <v>12</v>
      </c>
      <c r="ZF4">
        <v>10</v>
      </c>
      <c r="ZG4">
        <v>11</v>
      </c>
      <c r="ZH4">
        <v>0</v>
      </c>
      <c r="ZI4">
        <v>0</v>
      </c>
      <c r="ZJ4">
        <v>393.5</v>
      </c>
      <c r="ZK4">
        <v>22</v>
      </c>
      <c r="ZL4">
        <v>4</v>
      </c>
      <c r="ZM4">
        <v>25</v>
      </c>
      <c r="ZN4">
        <v>7</v>
      </c>
      <c r="ZO4">
        <v>10</v>
      </c>
      <c r="ZP4">
        <v>12</v>
      </c>
      <c r="ZQ4">
        <v>10</v>
      </c>
      <c r="ZR4">
        <v>11</v>
      </c>
      <c r="ZS4">
        <v>0</v>
      </c>
      <c r="ZT4">
        <v>0</v>
      </c>
      <c r="ZU4">
        <v>1549</v>
      </c>
      <c r="ZV4">
        <v>20</v>
      </c>
      <c r="ZW4">
        <v>4</v>
      </c>
      <c r="ZX4">
        <v>23</v>
      </c>
      <c r="ZY4">
        <v>7</v>
      </c>
      <c r="ZZ4">
        <v>40</v>
      </c>
      <c r="AAA4">
        <v>15</v>
      </c>
      <c r="AAB4">
        <v>40</v>
      </c>
      <c r="AAC4">
        <v>15</v>
      </c>
      <c r="AAD4">
        <v>0</v>
      </c>
      <c r="AAE4">
        <v>0</v>
      </c>
      <c r="AAF4">
        <v>1549</v>
      </c>
      <c r="AAG4">
        <v>20</v>
      </c>
      <c r="AAH4">
        <v>4</v>
      </c>
      <c r="AAI4">
        <v>24</v>
      </c>
      <c r="AAJ4">
        <v>7</v>
      </c>
      <c r="AAK4">
        <v>40</v>
      </c>
      <c r="AAL4">
        <v>15</v>
      </c>
      <c r="AAM4">
        <v>40</v>
      </c>
      <c r="AAN4">
        <v>15</v>
      </c>
      <c r="AAO4">
        <v>0</v>
      </c>
      <c r="AAP4">
        <v>0</v>
      </c>
      <c r="AAQ4">
        <v>1549</v>
      </c>
      <c r="AAR4">
        <v>20</v>
      </c>
      <c r="AAS4">
        <v>4</v>
      </c>
      <c r="AAT4">
        <v>25</v>
      </c>
      <c r="AAU4">
        <v>7</v>
      </c>
      <c r="AAV4">
        <v>40</v>
      </c>
      <c r="AAW4">
        <v>15</v>
      </c>
      <c r="AAX4">
        <v>40</v>
      </c>
      <c r="AAY4">
        <v>15</v>
      </c>
      <c r="AAZ4">
        <v>0</v>
      </c>
      <c r="ABA4">
        <v>0</v>
      </c>
      <c r="ABB4">
        <v>1549</v>
      </c>
      <c r="ABC4">
        <v>21</v>
      </c>
      <c r="ABD4">
        <v>4</v>
      </c>
      <c r="ABE4">
        <v>23</v>
      </c>
      <c r="ABF4">
        <v>7</v>
      </c>
      <c r="ABG4">
        <v>40</v>
      </c>
      <c r="ABH4">
        <v>15</v>
      </c>
      <c r="ABI4">
        <v>40</v>
      </c>
      <c r="ABJ4">
        <v>15</v>
      </c>
      <c r="ABK4">
        <v>0</v>
      </c>
      <c r="ABL4">
        <v>0</v>
      </c>
      <c r="ABM4">
        <v>1549</v>
      </c>
      <c r="ABN4">
        <v>21</v>
      </c>
      <c r="ABO4">
        <v>4</v>
      </c>
      <c r="ABP4">
        <v>24</v>
      </c>
      <c r="ABQ4">
        <v>7</v>
      </c>
      <c r="ABR4">
        <v>40</v>
      </c>
      <c r="ABS4">
        <v>15</v>
      </c>
      <c r="ABT4">
        <v>40</v>
      </c>
      <c r="ABU4">
        <v>15</v>
      </c>
      <c r="ABV4">
        <v>0</v>
      </c>
      <c r="ABW4">
        <v>0</v>
      </c>
      <c r="ABX4">
        <v>1549</v>
      </c>
      <c r="ABY4">
        <v>21</v>
      </c>
      <c r="ABZ4">
        <v>4</v>
      </c>
      <c r="ACA4">
        <v>25</v>
      </c>
      <c r="ACB4">
        <v>7</v>
      </c>
      <c r="ACC4">
        <v>40</v>
      </c>
      <c r="ACD4">
        <v>15</v>
      </c>
      <c r="ACE4">
        <v>40</v>
      </c>
      <c r="ACF4">
        <v>15</v>
      </c>
      <c r="ACG4">
        <v>0</v>
      </c>
      <c r="ACH4">
        <v>0</v>
      </c>
      <c r="ACI4">
        <v>1549</v>
      </c>
      <c r="ACJ4">
        <v>22</v>
      </c>
      <c r="ACK4">
        <v>4</v>
      </c>
      <c r="ACL4">
        <v>23</v>
      </c>
      <c r="ACM4">
        <v>7</v>
      </c>
      <c r="ACN4">
        <v>40</v>
      </c>
      <c r="ACO4">
        <v>15</v>
      </c>
      <c r="ACP4">
        <v>40</v>
      </c>
      <c r="ACQ4">
        <v>15</v>
      </c>
      <c r="ACR4">
        <v>0</v>
      </c>
      <c r="ACS4">
        <v>0</v>
      </c>
      <c r="ACT4">
        <v>1549</v>
      </c>
      <c r="ACU4">
        <v>22</v>
      </c>
      <c r="ACV4">
        <v>4</v>
      </c>
      <c r="ACW4">
        <v>24</v>
      </c>
      <c r="ACX4">
        <v>7</v>
      </c>
      <c r="ACY4">
        <v>40</v>
      </c>
      <c r="ACZ4">
        <v>15</v>
      </c>
      <c r="ADA4">
        <v>40</v>
      </c>
      <c r="ADB4">
        <v>15</v>
      </c>
      <c r="ADC4">
        <v>0</v>
      </c>
      <c r="ADD4">
        <v>0</v>
      </c>
      <c r="ADE4">
        <v>1549</v>
      </c>
      <c r="ADF4">
        <v>22</v>
      </c>
      <c r="ADG4">
        <v>4</v>
      </c>
      <c r="ADH4">
        <v>25</v>
      </c>
      <c r="ADI4">
        <v>7</v>
      </c>
      <c r="ADJ4">
        <v>40</v>
      </c>
      <c r="ADK4">
        <v>15</v>
      </c>
      <c r="ADL4">
        <v>40</v>
      </c>
      <c r="ADM4">
        <v>15</v>
      </c>
      <c r="ADN4">
        <v>0</v>
      </c>
      <c r="ADO4">
        <v>0</v>
      </c>
      <c r="ADP4">
        <v>393.5</v>
      </c>
      <c r="ADQ4">
        <v>20</v>
      </c>
      <c r="ADR4">
        <v>3</v>
      </c>
      <c r="ADS4">
        <v>23</v>
      </c>
      <c r="ADT4">
        <v>5</v>
      </c>
      <c r="ADU4">
        <v>10</v>
      </c>
      <c r="ADV4">
        <v>12</v>
      </c>
      <c r="ADW4">
        <v>10</v>
      </c>
      <c r="ADX4">
        <v>11</v>
      </c>
      <c r="ADY4">
        <v>0</v>
      </c>
      <c r="ADZ4">
        <v>0</v>
      </c>
      <c r="AEA4">
        <v>393.5</v>
      </c>
      <c r="AEB4">
        <v>20</v>
      </c>
      <c r="AEC4">
        <v>3</v>
      </c>
      <c r="AED4">
        <v>24</v>
      </c>
      <c r="AEE4">
        <v>5</v>
      </c>
      <c r="AEF4">
        <v>10</v>
      </c>
      <c r="AEG4">
        <v>12</v>
      </c>
      <c r="AEH4">
        <v>10</v>
      </c>
      <c r="AEI4">
        <v>11</v>
      </c>
      <c r="AEJ4">
        <v>0</v>
      </c>
      <c r="AEK4">
        <v>0</v>
      </c>
      <c r="AEL4">
        <v>393.5</v>
      </c>
      <c r="AEM4">
        <v>20</v>
      </c>
      <c r="AEN4">
        <v>3</v>
      </c>
      <c r="AEO4">
        <v>25</v>
      </c>
      <c r="AEP4">
        <v>5</v>
      </c>
      <c r="AEQ4">
        <v>10</v>
      </c>
      <c r="AER4">
        <v>12</v>
      </c>
      <c r="AES4">
        <v>10</v>
      </c>
      <c r="AET4">
        <v>11</v>
      </c>
      <c r="AEU4">
        <v>0</v>
      </c>
      <c r="AEV4">
        <v>0</v>
      </c>
      <c r="AEW4">
        <v>393.5</v>
      </c>
      <c r="AEX4">
        <v>21</v>
      </c>
      <c r="AEY4">
        <v>3</v>
      </c>
      <c r="AEZ4">
        <v>23</v>
      </c>
      <c r="AFA4">
        <v>5</v>
      </c>
      <c r="AFB4">
        <v>10</v>
      </c>
      <c r="AFC4">
        <v>12</v>
      </c>
      <c r="AFD4">
        <v>10</v>
      </c>
      <c r="AFE4">
        <v>11</v>
      </c>
      <c r="AFF4">
        <v>0</v>
      </c>
      <c r="AFG4">
        <v>0</v>
      </c>
      <c r="AFH4">
        <v>393.5</v>
      </c>
      <c r="AFI4">
        <v>21</v>
      </c>
      <c r="AFJ4">
        <v>3</v>
      </c>
      <c r="AFK4">
        <v>24</v>
      </c>
      <c r="AFL4">
        <v>5</v>
      </c>
      <c r="AFM4">
        <v>10</v>
      </c>
      <c r="AFN4">
        <v>12</v>
      </c>
      <c r="AFO4">
        <v>10</v>
      </c>
      <c r="AFP4">
        <v>11</v>
      </c>
      <c r="AFQ4">
        <v>0</v>
      </c>
      <c r="AFR4">
        <v>0</v>
      </c>
      <c r="AFS4">
        <v>393.5</v>
      </c>
      <c r="AFT4">
        <v>21</v>
      </c>
      <c r="AFU4">
        <v>3</v>
      </c>
      <c r="AFV4">
        <v>25</v>
      </c>
      <c r="AFW4">
        <v>5</v>
      </c>
      <c r="AFX4">
        <v>10</v>
      </c>
      <c r="AFY4">
        <v>12</v>
      </c>
      <c r="AFZ4">
        <v>10</v>
      </c>
      <c r="AGA4">
        <v>11</v>
      </c>
      <c r="AGB4">
        <v>0</v>
      </c>
      <c r="AGC4">
        <v>0</v>
      </c>
      <c r="AGD4">
        <v>393.5</v>
      </c>
      <c r="AGE4">
        <v>22</v>
      </c>
      <c r="AGF4">
        <v>3</v>
      </c>
      <c r="AGG4">
        <v>23</v>
      </c>
      <c r="AGH4">
        <v>5</v>
      </c>
      <c r="AGI4">
        <v>10</v>
      </c>
      <c r="AGJ4">
        <v>12</v>
      </c>
      <c r="AGK4">
        <v>10</v>
      </c>
      <c r="AGL4">
        <v>11</v>
      </c>
      <c r="AGM4">
        <v>0</v>
      </c>
      <c r="AGN4">
        <v>0</v>
      </c>
      <c r="AGO4">
        <v>393.5</v>
      </c>
      <c r="AGP4">
        <v>22</v>
      </c>
      <c r="AGQ4">
        <v>3</v>
      </c>
      <c r="AGR4">
        <v>24</v>
      </c>
      <c r="AGS4">
        <v>5</v>
      </c>
      <c r="AGT4">
        <v>10</v>
      </c>
      <c r="AGU4">
        <v>12</v>
      </c>
      <c r="AGV4">
        <v>10</v>
      </c>
      <c r="AGW4">
        <v>11</v>
      </c>
      <c r="AGX4">
        <v>0</v>
      </c>
      <c r="AGY4">
        <v>0</v>
      </c>
      <c r="AGZ4">
        <v>393.5</v>
      </c>
      <c r="AHA4">
        <v>22</v>
      </c>
      <c r="AHB4">
        <v>3</v>
      </c>
      <c r="AHC4">
        <v>25</v>
      </c>
      <c r="AHD4">
        <v>5</v>
      </c>
      <c r="AHE4">
        <v>10</v>
      </c>
      <c r="AHF4">
        <v>12</v>
      </c>
      <c r="AHG4">
        <v>10</v>
      </c>
      <c r="AHH4">
        <v>11</v>
      </c>
      <c r="AHI4">
        <v>0</v>
      </c>
      <c r="AHJ4">
        <v>0</v>
      </c>
      <c r="AHK4">
        <v>1549</v>
      </c>
      <c r="AHL4">
        <v>20</v>
      </c>
      <c r="AHM4">
        <v>3</v>
      </c>
      <c r="AHN4">
        <v>23</v>
      </c>
      <c r="AHO4">
        <v>5</v>
      </c>
      <c r="AHP4">
        <v>40</v>
      </c>
      <c r="AHQ4">
        <v>15</v>
      </c>
      <c r="AHR4">
        <v>40</v>
      </c>
      <c r="AHS4">
        <v>15</v>
      </c>
      <c r="AHT4">
        <v>0</v>
      </c>
      <c r="AHU4">
        <v>0</v>
      </c>
      <c r="AHV4">
        <v>1549</v>
      </c>
      <c r="AHW4">
        <v>20</v>
      </c>
      <c r="AHX4">
        <v>3</v>
      </c>
      <c r="AHY4">
        <v>24</v>
      </c>
      <c r="AHZ4">
        <v>5</v>
      </c>
      <c r="AIA4">
        <v>40</v>
      </c>
      <c r="AIB4">
        <v>15</v>
      </c>
      <c r="AIC4">
        <v>40</v>
      </c>
      <c r="AID4">
        <v>15</v>
      </c>
      <c r="AIE4">
        <v>0</v>
      </c>
      <c r="AIF4">
        <v>0</v>
      </c>
      <c r="AIG4">
        <v>1549</v>
      </c>
      <c r="AIH4">
        <v>20</v>
      </c>
      <c r="AII4">
        <v>3</v>
      </c>
      <c r="AIJ4">
        <v>25</v>
      </c>
      <c r="AIK4">
        <v>5</v>
      </c>
      <c r="AIL4">
        <v>40</v>
      </c>
      <c r="AIM4">
        <v>15</v>
      </c>
      <c r="AIN4">
        <v>40</v>
      </c>
      <c r="AIO4">
        <v>15</v>
      </c>
      <c r="AIP4">
        <v>0</v>
      </c>
      <c r="AIQ4">
        <v>0</v>
      </c>
      <c r="AIR4">
        <v>1549</v>
      </c>
      <c r="AIS4">
        <v>21</v>
      </c>
      <c r="AIT4">
        <v>3</v>
      </c>
      <c r="AIU4">
        <v>23</v>
      </c>
      <c r="AIV4">
        <v>5</v>
      </c>
      <c r="AIW4">
        <v>40</v>
      </c>
      <c r="AIX4">
        <v>15</v>
      </c>
      <c r="AIY4">
        <v>40</v>
      </c>
      <c r="AIZ4">
        <v>15</v>
      </c>
      <c r="AJA4">
        <v>0</v>
      </c>
      <c r="AJB4">
        <v>0</v>
      </c>
      <c r="AJC4">
        <v>1549</v>
      </c>
      <c r="AJD4">
        <v>21</v>
      </c>
      <c r="AJE4">
        <v>3</v>
      </c>
      <c r="AJF4">
        <v>24</v>
      </c>
      <c r="AJG4">
        <v>5</v>
      </c>
      <c r="AJH4">
        <v>40</v>
      </c>
      <c r="AJI4">
        <v>15</v>
      </c>
      <c r="AJJ4">
        <v>40</v>
      </c>
      <c r="AJK4">
        <v>15</v>
      </c>
      <c r="AJL4">
        <v>0</v>
      </c>
      <c r="AJM4">
        <v>0</v>
      </c>
      <c r="AJN4">
        <v>1549</v>
      </c>
      <c r="AJO4">
        <v>21</v>
      </c>
      <c r="AJP4">
        <v>3</v>
      </c>
      <c r="AJQ4">
        <v>25</v>
      </c>
      <c r="AJR4">
        <v>5</v>
      </c>
      <c r="AJS4">
        <v>40</v>
      </c>
      <c r="AJT4">
        <v>15</v>
      </c>
      <c r="AJU4">
        <v>40</v>
      </c>
      <c r="AJV4">
        <v>15</v>
      </c>
      <c r="AJW4">
        <v>0</v>
      </c>
      <c r="AJX4">
        <v>0</v>
      </c>
      <c r="AJY4">
        <v>1549</v>
      </c>
      <c r="AJZ4">
        <v>22</v>
      </c>
      <c r="AKA4">
        <v>3</v>
      </c>
      <c r="AKB4">
        <v>23</v>
      </c>
      <c r="AKC4">
        <v>5</v>
      </c>
      <c r="AKD4">
        <v>40</v>
      </c>
      <c r="AKE4">
        <v>15</v>
      </c>
      <c r="AKF4">
        <v>40</v>
      </c>
      <c r="AKG4">
        <v>15</v>
      </c>
      <c r="AKH4">
        <v>0</v>
      </c>
      <c r="AKI4">
        <v>0</v>
      </c>
      <c r="AKJ4">
        <v>1549</v>
      </c>
      <c r="AKK4">
        <v>22</v>
      </c>
      <c r="AKL4">
        <v>3</v>
      </c>
      <c r="AKM4">
        <v>24</v>
      </c>
      <c r="AKN4">
        <v>5</v>
      </c>
      <c r="AKO4">
        <v>40</v>
      </c>
      <c r="AKP4">
        <v>15</v>
      </c>
      <c r="AKQ4">
        <v>40</v>
      </c>
      <c r="AKR4">
        <v>15</v>
      </c>
      <c r="AKS4">
        <v>0</v>
      </c>
      <c r="AKT4">
        <v>0</v>
      </c>
      <c r="AKU4">
        <v>1549</v>
      </c>
      <c r="AKV4">
        <v>22</v>
      </c>
      <c r="AKW4">
        <v>3</v>
      </c>
      <c r="AKX4">
        <v>25</v>
      </c>
      <c r="AKY4">
        <v>5</v>
      </c>
      <c r="AKZ4">
        <v>40</v>
      </c>
      <c r="ALA4">
        <v>15</v>
      </c>
      <c r="ALB4">
        <v>40</v>
      </c>
      <c r="ALC4">
        <v>15</v>
      </c>
      <c r="ALD4">
        <v>0</v>
      </c>
      <c r="ALE4">
        <v>0</v>
      </c>
      <c r="ALF4">
        <v>393.5</v>
      </c>
      <c r="ALG4">
        <v>20</v>
      </c>
      <c r="ALH4">
        <v>3</v>
      </c>
      <c r="ALI4">
        <v>23</v>
      </c>
      <c r="ALJ4">
        <v>7</v>
      </c>
      <c r="ALK4">
        <v>10</v>
      </c>
      <c r="ALL4">
        <v>12</v>
      </c>
      <c r="ALM4">
        <v>10</v>
      </c>
      <c r="ALN4">
        <v>11</v>
      </c>
      <c r="ALO4">
        <v>0</v>
      </c>
      <c r="ALP4">
        <v>0</v>
      </c>
      <c r="ALQ4">
        <v>393.5</v>
      </c>
      <c r="ALR4">
        <v>20</v>
      </c>
      <c r="ALS4">
        <v>3</v>
      </c>
      <c r="ALT4">
        <v>24</v>
      </c>
      <c r="ALU4">
        <v>7</v>
      </c>
      <c r="ALV4">
        <v>10</v>
      </c>
      <c r="ALW4">
        <v>12</v>
      </c>
      <c r="ALX4">
        <v>10</v>
      </c>
      <c r="ALY4">
        <v>11</v>
      </c>
      <c r="ALZ4">
        <v>0</v>
      </c>
      <c r="AMA4">
        <v>0</v>
      </c>
      <c r="AMB4">
        <v>393.5</v>
      </c>
      <c r="AMC4">
        <v>20</v>
      </c>
      <c r="AMD4">
        <v>3</v>
      </c>
      <c r="AME4">
        <v>25</v>
      </c>
      <c r="AMF4">
        <v>7</v>
      </c>
      <c r="AMG4">
        <v>10</v>
      </c>
      <c r="AMH4">
        <v>12</v>
      </c>
      <c r="AMI4">
        <v>10</v>
      </c>
      <c r="AMJ4">
        <v>11</v>
      </c>
      <c r="AMK4">
        <v>0</v>
      </c>
      <c r="AML4">
        <v>0</v>
      </c>
      <c r="AMM4">
        <v>393.5</v>
      </c>
      <c r="AMN4">
        <v>21</v>
      </c>
      <c r="AMO4">
        <v>3</v>
      </c>
      <c r="AMP4">
        <v>23</v>
      </c>
      <c r="AMQ4">
        <v>7</v>
      </c>
      <c r="AMR4">
        <v>10</v>
      </c>
      <c r="AMS4">
        <v>12</v>
      </c>
      <c r="AMT4">
        <v>10</v>
      </c>
      <c r="AMU4">
        <v>11</v>
      </c>
      <c r="AMV4">
        <v>0</v>
      </c>
      <c r="AMW4">
        <v>0</v>
      </c>
      <c r="AMX4">
        <v>393.5</v>
      </c>
      <c r="AMY4">
        <v>21</v>
      </c>
      <c r="AMZ4">
        <v>3</v>
      </c>
      <c r="ANA4">
        <v>24</v>
      </c>
      <c r="ANB4">
        <v>7</v>
      </c>
      <c r="ANC4">
        <v>10</v>
      </c>
      <c r="AND4">
        <v>12</v>
      </c>
      <c r="ANE4">
        <v>10</v>
      </c>
      <c r="ANF4">
        <v>11</v>
      </c>
      <c r="ANG4">
        <v>0</v>
      </c>
      <c r="ANH4">
        <v>0</v>
      </c>
      <c r="ANI4">
        <v>393.5</v>
      </c>
      <c r="ANJ4">
        <v>21</v>
      </c>
      <c r="ANK4">
        <v>3</v>
      </c>
      <c r="ANL4">
        <v>25</v>
      </c>
      <c r="ANM4">
        <v>7</v>
      </c>
      <c r="ANN4">
        <v>10</v>
      </c>
      <c r="ANO4">
        <v>12</v>
      </c>
      <c r="ANP4">
        <v>10</v>
      </c>
      <c r="ANQ4">
        <v>11</v>
      </c>
      <c r="ANR4">
        <v>0</v>
      </c>
      <c r="ANS4">
        <v>0</v>
      </c>
      <c r="ANT4">
        <v>393.5</v>
      </c>
      <c r="ANU4">
        <v>22</v>
      </c>
      <c r="ANV4">
        <v>3</v>
      </c>
      <c r="ANW4">
        <v>23</v>
      </c>
      <c r="ANX4">
        <v>7</v>
      </c>
      <c r="ANY4">
        <v>10</v>
      </c>
      <c r="ANZ4">
        <v>12</v>
      </c>
      <c r="AOA4">
        <v>10</v>
      </c>
      <c r="AOB4">
        <v>11</v>
      </c>
      <c r="AOC4">
        <v>0</v>
      </c>
      <c r="AOD4">
        <v>0</v>
      </c>
      <c r="AOE4">
        <v>393.5</v>
      </c>
      <c r="AOF4">
        <v>22</v>
      </c>
      <c r="AOG4">
        <v>3</v>
      </c>
      <c r="AOH4">
        <v>24</v>
      </c>
      <c r="AOI4">
        <v>7</v>
      </c>
      <c r="AOJ4">
        <v>10</v>
      </c>
      <c r="AOK4">
        <v>12</v>
      </c>
      <c r="AOL4">
        <v>10</v>
      </c>
      <c r="AOM4">
        <v>11</v>
      </c>
      <c r="AON4">
        <v>0</v>
      </c>
      <c r="AOO4">
        <v>0</v>
      </c>
      <c r="AOP4">
        <v>393.5</v>
      </c>
      <c r="AOQ4">
        <v>22</v>
      </c>
      <c r="AOR4">
        <v>3</v>
      </c>
      <c r="AOS4">
        <v>25</v>
      </c>
      <c r="AOT4">
        <v>7</v>
      </c>
      <c r="AOU4">
        <v>10</v>
      </c>
      <c r="AOV4">
        <v>12</v>
      </c>
      <c r="AOW4">
        <v>10</v>
      </c>
      <c r="AOX4">
        <v>11</v>
      </c>
      <c r="AOY4">
        <v>0</v>
      </c>
      <c r="AOZ4">
        <v>0</v>
      </c>
      <c r="APA4">
        <v>1549</v>
      </c>
      <c r="APB4">
        <v>20</v>
      </c>
      <c r="APC4">
        <v>3</v>
      </c>
      <c r="APD4">
        <v>23</v>
      </c>
      <c r="APE4">
        <v>7</v>
      </c>
      <c r="APF4">
        <v>40</v>
      </c>
      <c r="APG4">
        <v>15</v>
      </c>
      <c r="APH4">
        <v>40</v>
      </c>
      <c r="API4">
        <v>15</v>
      </c>
      <c r="APJ4">
        <v>0</v>
      </c>
      <c r="APK4">
        <v>0</v>
      </c>
      <c r="APL4">
        <v>1549</v>
      </c>
      <c r="APM4">
        <v>20</v>
      </c>
      <c r="APN4">
        <v>3</v>
      </c>
      <c r="APO4">
        <v>24</v>
      </c>
      <c r="APP4">
        <v>7</v>
      </c>
      <c r="APQ4">
        <v>40</v>
      </c>
      <c r="APR4">
        <v>15</v>
      </c>
      <c r="APS4">
        <v>40</v>
      </c>
      <c r="APT4">
        <v>15</v>
      </c>
      <c r="APU4">
        <v>0</v>
      </c>
      <c r="APV4">
        <v>0</v>
      </c>
      <c r="APW4">
        <v>1549</v>
      </c>
      <c r="APX4">
        <v>20</v>
      </c>
      <c r="APY4">
        <v>3</v>
      </c>
      <c r="APZ4">
        <v>25</v>
      </c>
      <c r="AQA4">
        <v>7</v>
      </c>
      <c r="AQB4">
        <v>40</v>
      </c>
      <c r="AQC4">
        <v>15</v>
      </c>
      <c r="AQD4">
        <v>40</v>
      </c>
      <c r="AQE4">
        <v>15</v>
      </c>
      <c r="AQF4">
        <v>0</v>
      </c>
      <c r="AQG4">
        <v>0</v>
      </c>
      <c r="AQH4">
        <v>1549</v>
      </c>
      <c r="AQI4">
        <v>21</v>
      </c>
      <c r="AQJ4">
        <v>3</v>
      </c>
      <c r="AQK4">
        <v>23</v>
      </c>
      <c r="AQL4">
        <v>7</v>
      </c>
      <c r="AQM4">
        <v>40</v>
      </c>
      <c r="AQN4">
        <v>15</v>
      </c>
      <c r="AQO4">
        <v>40</v>
      </c>
      <c r="AQP4">
        <v>15</v>
      </c>
      <c r="AQQ4">
        <v>0</v>
      </c>
      <c r="AQR4">
        <v>0</v>
      </c>
      <c r="AQS4">
        <v>1549</v>
      </c>
      <c r="AQT4">
        <v>21</v>
      </c>
      <c r="AQU4">
        <v>3</v>
      </c>
      <c r="AQV4">
        <v>24</v>
      </c>
      <c r="AQW4">
        <v>7</v>
      </c>
      <c r="AQX4">
        <v>40</v>
      </c>
      <c r="AQY4">
        <v>15</v>
      </c>
      <c r="AQZ4">
        <v>40</v>
      </c>
      <c r="ARA4">
        <v>15</v>
      </c>
      <c r="ARB4">
        <v>0</v>
      </c>
      <c r="ARC4">
        <v>0</v>
      </c>
      <c r="ARD4">
        <v>1549</v>
      </c>
      <c r="ARE4">
        <v>21</v>
      </c>
      <c r="ARF4">
        <v>3</v>
      </c>
      <c r="ARG4">
        <v>25</v>
      </c>
      <c r="ARH4">
        <v>7</v>
      </c>
      <c r="ARI4">
        <v>40</v>
      </c>
      <c r="ARJ4">
        <v>15</v>
      </c>
      <c r="ARK4">
        <v>40</v>
      </c>
      <c r="ARL4">
        <v>15</v>
      </c>
      <c r="ARM4">
        <v>0</v>
      </c>
      <c r="ARN4">
        <v>0</v>
      </c>
      <c r="ARO4">
        <v>1549</v>
      </c>
      <c r="ARP4">
        <v>22</v>
      </c>
      <c r="ARQ4">
        <v>3</v>
      </c>
      <c r="ARR4">
        <v>23</v>
      </c>
      <c r="ARS4">
        <v>7</v>
      </c>
      <c r="ART4">
        <v>40</v>
      </c>
      <c r="ARU4">
        <v>15</v>
      </c>
      <c r="ARV4">
        <v>40</v>
      </c>
      <c r="ARW4">
        <v>15</v>
      </c>
      <c r="ARX4">
        <v>0</v>
      </c>
      <c r="ARY4">
        <v>0</v>
      </c>
      <c r="ARZ4">
        <v>1549</v>
      </c>
      <c r="ASA4">
        <v>22</v>
      </c>
      <c r="ASB4">
        <v>3</v>
      </c>
      <c r="ASC4">
        <v>24</v>
      </c>
      <c r="ASD4">
        <v>7</v>
      </c>
      <c r="ASE4">
        <v>40</v>
      </c>
      <c r="ASF4">
        <v>15</v>
      </c>
      <c r="ASG4">
        <v>40</v>
      </c>
      <c r="ASH4">
        <v>15</v>
      </c>
      <c r="ASI4">
        <v>0</v>
      </c>
      <c r="ASJ4">
        <v>0</v>
      </c>
      <c r="ASK4">
        <v>1549</v>
      </c>
      <c r="ASL4">
        <v>22</v>
      </c>
      <c r="ASM4">
        <v>3</v>
      </c>
      <c r="ASN4">
        <v>25</v>
      </c>
      <c r="ASO4">
        <v>7</v>
      </c>
      <c r="ASP4">
        <v>40</v>
      </c>
      <c r="ASQ4">
        <v>15</v>
      </c>
      <c r="ASR4">
        <v>40</v>
      </c>
      <c r="ASS4">
        <v>15</v>
      </c>
      <c r="AST4">
        <v>0</v>
      </c>
      <c r="ASU4">
        <v>0</v>
      </c>
      <c r="ASV4">
        <v>393.5</v>
      </c>
      <c r="ASW4">
        <v>20</v>
      </c>
      <c r="ASX4">
        <v>4</v>
      </c>
      <c r="ASY4">
        <v>23</v>
      </c>
      <c r="ASZ4">
        <v>5</v>
      </c>
      <c r="ATA4">
        <v>10</v>
      </c>
      <c r="ATB4">
        <v>12</v>
      </c>
      <c r="ATC4">
        <v>10</v>
      </c>
      <c r="ATD4">
        <v>11</v>
      </c>
      <c r="ATE4">
        <v>0</v>
      </c>
      <c r="ATF4">
        <v>0</v>
      </c>
      <c r="ATG4">
        <v>393.5</v>
      </c>
      <c r="ATH4">
        <v>20</v>
      </c>
      <c r="ATI4">
        <v>4</v>
      </c>
      <c r="ATJ4">
        <v>24</v>
      </c>
      <c r="ATK4">
        <v>5</v>
      </c>
      <c r="ATL4">
        <v>10</v>
      </c>
      <c r="ATM4">
        <v>12</v>
      </c>
      <c r="ATN4">
        <v>10</v>
      </c>
      <c r="ATO4">
        <v>11</v>
      </c>
      <c r="ATP4">
        <v>0</v>
      </c>
      <c r="ATQ4">
        <v>0</v>
      </c>
      <c r="ATR4">
        <v>393.5</v>
      </c>
      <c r="ATS4">
        <v>20</v>
      </c>
      <c r="ATT4">
        <v>4</v>
      </c>
      <c r="ATU4">
        <v>25</v>
      </c>
      <c r="ATV4">
        <v>5</v>
      </c>
      <c r="ATW4">
        <v>10</v>
      </c>
      <c r="ATX4">
        <v>12</v>
      </c>
      <c r="ATY4">
        <v>10</v>
      </c>
      <c r="ATZ4">
        <v>11</v>
      </c>
      <c r="AUA4">
        <v>0</v>
      </c>
      <c r="AUB4">
        <v>0</v>
      </c>
      <c r="AUC4">
        <v>393.5</v>
      </c>
      <c r="AUD4">
        <v>21</v>
      </c>
      <c r="AUE4">
        <v>4</v>
      </c>
      <c r="AUF4">
        <v>23</v>
      </c>
      <c r="AUG4">
        <v>5</v>
      </c>
      <c r="AUH4">
        <v>10</v>
      </c>
      <c r="AUI4">
        <v>12</v>
      </c>
      <c r="AUJ4">
        <v>10</v>
      </c>
      <c r="AUK4">
        <v>11</v>
      </c>
      <c r="AUL4">
        <v>0</v>
      </c>
      <c r="AUM4">
        <v>0</v>
      </c>
      <c r="AUN4">
        <v>393.5</v>
      </c>
      <c r="AUO4">
        <v>21</v>
      </c>
      <c r="AUP4">
        <v>4</v>
      </c>
      <c r="AUQ4">
        <v>24</v>
      </c>
      <c r="AUR4">
        <v>5</v>
      </c>
      <c r="AUS4">
        <v>10</v>
      </c>
      <c r="AUT4">
        <v>12</v>
      </c>
      <c r="AUU4">
        <v>10</v>
      </c>
      <c r="AUV4">
        <v>11</v>
      </c>
      <c r="AUW4">
        <v>0</v>
      </c>
      <c r="AUX4">
        <v>0</v>
      </c>
      <c r="AUY4">
        <v>393.5</v>
      </c>
      <c r="AUZ4">
        <v>21</v>
      </c>
      <c r="AVA4">
        <v>4</v>
      </c>
      <c r="AVB4">
        <v>25</v>
      </c>
      <c r="AVC4">
        <v>5</v>
      </c>
      <c r="AVD4">
        <v>10</v>
      </c>
      <c r="AVE4">
        <v>12</v>
      </c>
      <c r="AVF4">
        <v>10</v>
      </c>
      <c r="AVG4">
        <v>11</v>
      </c>
      <c r="AVH4">
        <v>0</v>
      </c>
      <c r="AVI4">
        <v>0</v>
      </c>
      <c r="AVJ4">
        <v>393.5</v>
      </c>
      <c r="AVK4">
        <v>22</v>
      </c>
      <c r="AVL4">
        <v>4</v>
      </c>
      <c r="AVM4">
        <v>23</v>
      </c>
      <c r="AVN4">
        <v>5</v>
      </c>
      <c r="AVO4">
        <v>10</v>
      </c>
      <c r="AVP4">
        <v>12</v>
      </c>
      <c r="AVQ4">
        <v>10</v>
      </c>
      <c r="AVR4">
        <v>11</v>
      </c>
      <c r="AVS4">
        <v>0</v>
      </c>
      <c r="AVT4">
        <v>0</v>
      </c>
      <c r="AVU4">
        <v>393.5</v>
      </c>
      <c r="AVV4">
        <v>22</v>
      </c>
      <c r="AVW4">
        <v>4</v>
      </c>
      <c r="AVX4">
        <v>24</v>
      </c>
      <c r="AVY4">
        <v>5</v>
      </c>
      <c r="AVZ4">
        <v>10</v>
      </c>
      <c r="AWA4">
        <v>12</v>
      </c>
      <c r="AWB4">
        <v>10</v>
      </c>
      <c r="AWC4">
        <v>11</v>
      </c>
      <c r="AWD4">
        <v>0</v>
      </c>
      <c r="AWE4">
        <v>0</v>
      </c>
      <c r="AWF4">
        <v>393.5</v>
      </c>
      <c r="AWG4">
        <v>22</v>
      </c>
      <c r="AWH4">
        <v>4</v>
      </c>
      <c r="AWI4">
        <v>25</v>
      </c>
      <c r="AWJ4">
        <v>5</v>
      </c>
      <c r="AWK4">
        <v>10</v>
      </c>
      <c r="AWL4">
        <v>12</v>
      </c>
      <c r="AWM4">
        <v>10</v>
      </c>
      <c r="AWN4">
        <v>11</v>
      </c>
      <c r="AWO4">
        <v>0</v>
      </c>
      <c r="AWP4">
        <v>0</v>
      </c>
      <c r="AWQ4">
        <v>1549</v>
      </c>
      <c r="AWR4">
        <v>20</v>
      </c>
      <c r="AWS4">
        <v>4</v>
      </c>
      <c r="AWT4">
        <v>23</v>
      </c>
      <c r="AWU4">
        <v>5</v>
      </c>
      <c r="AWV4">
        <v>40</v>
      </c>
      <c r="AWW4">
        <v>15</v>
      </c>
      <c r="AWX4">
        <v>40</v>
      </c>
      <c r="AWY4">
        <v>15</v>
      </c>
      <c r="AWZ4">
        <v>0</v>
      </c>
      <c r="AXA4">
        <v>0</v>
      </c>
      <c r="AXB4">
        <v>1549</v>
      </c>
      <c r="AXC4">
        <v>20</v>
      </c>
      <c r="AXD4">
        <v>4</v>
      </c>
      <c r="AXE4">
        <v>24</v>
      </c>
      <c r="AXF4">
        <v>5</v>
      </c>
      <c r="AXG4">
        <v>40</v>
      </c>
      <c r="AXH4">
        <v>15</v>
      </c>
      <c r="AXI4">
        <v>40</v>
      </c>
      <c r="AXJ4">
        <v>15</v>
      </c>
      <c r="AXK4">
        <v>0</v>
      </c>
      <c r="AXL4">
        <v>0</v>
      </c>
      <c r="AXM4">
        <v>1549</v>
      </c>
      <c r="AXN4">
        <v>20</v>
      </c>
      <c r="AXO4">
        <v>4</v>
      </c>
      <c r="AXP4">
        <v>25</v>
      </c>
      <c r="AXQ4">
        <v>5</v>
      </c>
      <c r="AXR4">
        <v>40</v>
      </c>
      <c r="AXS4">
        <v>15</v>
      </c>
      <c r="AXT4">
        <v>40</v>
      </c>
      <c r="AXU4">
        <v>15</v>
      </c>
      <c r="AXV4">
        <v>0</v>
      </c>
      <c r="AXW4">
        <v>0</v>
      </c>
      <c r="AXX4">
        <v>1549</v>
      </c>
      <c r="AXY4">
        <v>21</v>
      </c>
      <c r="AXZ4">
        <v>4</v>
      </c>
      <c r="AYA4">
        <v>23</v>
      </c>
      <c r="AYB4">
        <v>5</v>
      </c>
      <c r="AYC4">
        <v>40</v>
      </c>
      <c r="AYD4">
        <v>15</v>
      </c>
      <c r="AYE4">
        <v>40</v>
      </c>
      <c r="AYF4">
        <v>15</v>
      </c>
      <c r="AYG4">
        <v>0</v>
      </c>
      <c r="AYH4">
        <v>0</v>
      </c>
      <c r="AYI4">
        <v>1549</v>
      </c>
      <c r="AYJ4">
        <v>21</v>
      </c>
      <c r="AYK4">
        <v>4</v>
      </c>
      <c r="AYL4">
        <v>24</v>
      </c>
      <c r="AYM4">
        <v>5</v>
      </c>
      <c r="AYN4">
        <v>40</v>
      </c>
      <c r="AYO4">
        <v>15</v>
      </c>
      <c r="AYP4">
        <v>40</v>
      </c>
      <c r="AYQ4">
        <v>15</v>
      </c>
      <c r="AYR4">
        <v>0</v>
      </c>
      <c r="AYS4">
        <v>0</v>
      </c>
      <c r="AYT4">
        <v>1549</v>
      </c>
      <c r="AYU4">
        <v>21</v>
      </c>
      <c r="AYV4">
        <v>4</v>
      </c>
      <c r="AYW4">
        <v>25</v>
      </c>
      <c r="AYX4">
        <v>5</v>
      </c>
      <c r="AYY4">
        <v>40</v>
      </c>
      <c r="AYZ4">
        <v>15</v>
      </c>
      <c r="AZA4">
        <v>40</v>
      </c>
      <c r="AZB4">
        <v>15</v>
      </c>
      <c r="AZC4">
        <v>0</v>
      </c>
      <c r="AZD4">
        <v>0</v>
      </c>
      <c r="AZE4">
        <v>1549</v>
      </c>
      <c r="AZF4">
        <v>22</v>
      </c>
      <c r="AZG4">
        <v>4</v>
      </c>
      <c r="AZH4">
        <v>23</v>
      </c>
      <c r="AZI4">
        <v>5</v>
      </c>
      <c r="AZJ4">
        <v>40</v>
      </c>
      <c r="AZK4">
        <v>15</v>
      </c>
      <c r="AZL4">
        <v>40</v>
      </c>
      <c r="AZM4">
        <v>15</v>
      </c>
      <c r="AZN4">
        <v>0</v>
      </c>
      <c r="AZO4">
        <v>0</v>
      </c>
      <c r="AZP4">
        <v>1549</v>
      </c>
      <c r="AZQ4">
        <v>22</v>
      </c>
      <c r="AZR4">
        <v>4</v>
      </c>
      <c r="AZS4">
        <v>24</v>
      </c>
      <c r="AZT4">
        <v>5</v>
      </c>
      <c r="AZU4">
        <v>40</v>
      </c>
      <c r="AZV4">
        <v>15</v>
      </c>
      <c r="AZW4">
        <v>40</v>
      </c>
      <c r="AZX4">
        <v>15</v>
      </c>
      <c r="AZY4">
        <v>0</v>
      </c>
      <c r="AZZ4">
        <v>0</v>
      </c>
      <c r="BAA4">
        <v>1549</v>
      </c>
      <c r="BAB4">
        <v>22</v>
      </c>
      <c r="BAC4">
        <v>4</v>
      </c>
      <c r="BAD4">
        <v>25</v>
      </c>
      <c r="BAE4">
        <v>5</v>
      </c>
      <c r="BAF4">
        <v>40</v>
      </c>
      <c r="BAG4">
        <v>15</v>
      </c>
      <c r="BAH4">
        <v>40</v>
      </c>
      <c r="BAI4">
        <v>15</v>
      </c>
      <c r="BAJ4">
        <v>0</v>
      </c>
      <c r="BAK4">
        <v>0</v>
      </c>
      <c r="BAL4">
        <v>393.5</v>
      </c>
      <c r="BAM4">
        <v>20</v>
      </c>
      <c r="BAN4">
        <v>4</v>
      </c>
      <c r="BAO4">
        <v>23</v>
      </c>
      <c r="BAP4">
        <v>7</v>
      </c>
      <c r="BAQ4">
        <v>10</v>
      </c>
      <c r="BAR4">
        <v>12</v>
      </c>
      <c r="BAS4">
        <v>10</v>
      </c>
      <c r="BAT4">
        <v>11</v>
      </c>
      <c r="BAU4">
        <v>0</v>
      </c>
      <c r="BAV4">
        <v>0</v>
      </c>
      <c r="BAW4">
        <v>393.5</v>
      </c>
      <c r="BAX4">
        <v>20</v>
      </c>
      <c r="BAY4">
        <v>4</v>
      </c>
      <c r="BAZ4">
        <v>24</v>
      </c>
      <c r="BBA4">
        <v>7</v>
      </c>
      <c r="BBB4">
        <v>10</v>
      </c>
      <c r="BBC4">
        <v>12</v>
      </c>
      <c r="BBD4">
        <v>10</v>
      </c>
      <c r="BBE4">
        <v>11</v>
      </c>
      <c r="BBF4">
        <v>0</v>
      </c>
      <c r="BBG4">
        <v>0</v>
      </c>
      <c r="BBH4">
        <v>393.5</v>
      </c>
      <c r="BBI4">
        <v>20</v>
      </c>
      <c r="BBJ4">
        <v>4</v>
      </c>
      <c r="BBK4">
        <v>25</v>
      </c>
      <c r="BBL4">
        <v>7</v>
      </c>
      <c r="BBM4">
        <v>10</v>
      </c>
      <c r="BBN4">
        <v>12</v>
      </c>
      <c r="BBO4">
        <v>10</v>
      </c>
      <c r="BBP4">
        <v>11</v>
      </c>
      <c r="BBQ4">
        <v>0</v>
      </c>
      <c r="BBR4">
        <v>0</v>
      </c>
      <c r="BBS4">
        <v>393.5</v>
      </c>
      <c r="BBT4">
        <v>21</v>
      </c>
      <c r="BBU4">
        <v>4</v>
      </c>
      <c r="BBV4">
        <v>23</v>
      </c>
      <c r="BBW4">
        <v>7</v>
      </c>
      <c r="BBX4">
        <v>10</v>
      </c>
      <c r="BBY4">
        <v>12</v>
      </c>
      <c r="BBZ4">
        <v>10</v>
      </c>
      <c r="BCA4">
        <v>11</v>
      </c>
      <c r="BCB4">
        <v>0</v>
      </c>
      <c r="BCC4">
        <v>0</v>
      </c>
      <c r="BCD4">
        <v>393.5</v>
      </c>
      <c r="BCE4">
        <v>21</v>
      </c>
      <c r="BCF4">
        <v>4</v>
      </c>
      <c r="BCG4">
        <v>24</v>
      </c>
      <c r="BCH4">
        <v>7</v>
      </c>
      <c r="BCI4">
        <v>10</v>
      </c>
      <c r="BCJ4">
        <v>12</v>
      </c>
      <c r="BCK4">
        <v>10</v>
      </c>
      <c r="BCL4">
        <v>11</v>
      </c>
      <c r="BCM4">
        <v>0</v>
      </c>
      <c r="BCN4">
        <v>0</v>
      </c>
      <c r="BCO4">
        <v>393.5</v>
      </c>
      <c r="BCP4">
        <v>21</v>
      </c>
      <c r="BCQ4">
        <v>4</v>
      </c>
      <c r="BCR4">
        <v>25</v>
      </c>
      <c r="BCS4">
        <v>7</v>
      </c>
      <c r="BCT4">
        <v>10</v>
      </c>
      <c r="BCU4">
        <v>12</v>
      </c>
      <c r="BCV4">
        <v>10</v>
      </c>
      <c r="BCW4">
        <v>11</v>
      </c>
      <c r="BCX4">
        <v>0</v>
      </c>
      <c r="BCY4">
        <v>0</v>
      </c>
      <c r="BCZ4">
        <v>393.5</v>
      </c>
      <c r="BDA4">
        <v>22</v>
      </c>
      <c r="BDB4">
        <v>4</v>
      </c>
      <c r="BDC4">
        <v>23</v>
      </c>
      <c r="BDD4">
        <v>7</v>
      </c>
      <c r="BDE4">
        <v>10</v>
      </c>
      <c r="BDF4">
        <v>12</v>
      </c>
      <c r="BDG4">
        <v>10</v>
      </c>
      <c r="BDH4">
        <v>11</v>
      </c>
      <c r="BDI4">
        <v>0</v>
      </c>
      <c r="BDJ4">
        <v>0</v>
      </c>
      <c r="BDK4">
        <v>393.5</v>
      </c>
      <c r="BDL4">
        <v>22</v>
      </c>
      <c r="BDM4">
        <v>4</v>
      </c>
      <c r="BDN4">
        <v>24</v>
      </c>
      <c r="BDO4">
        <v>7</v>
      </c>
      <c r="BDP4">
        <v>10</v>
      </c>
      <c r="BDQ4">
        <v>12</v>
      </c>
      <c r="BDR4">
        <v>10</v>
      </c>
      <c r="BDS4">
        <v>11</v>
      </c>
      <c r="BDT4">
        <v>0</v>
      </c>
      <c r="BDU4">
        <v>0</v>
      </c>
      <c r="BDV4">
        <v>393.5</v>
      </c>
      <c r="BDW4">
        <v>22</v>
      </c>
      <c r="BDX4">
        <v>4</v>
      </c>
      <c r="BDY4">
        <v>25</v>
      </c>
      <c r="BDZ4">
        <v>7</v>
      </c>
      <c r="BEA4">
        <v>10</v>
      </c>
      <c r="BEB4">
        <v>12</v>
      </c>
      <c r="BEC4">
        <v>10</v>
      </c>
      <c r="BED4">
        <v>11</v>
      </c>
      <c r="BEE4">
        <v>0</v>
      </c>
      <c r="BEF4">
        <v>0</v>
      </c>
      <c r="BEG4">
        <v>1549</v>
      </c>
      <c r="BEH4">
        <v>20</v>
      </c>
      <c r="BEI4">
        <v>4</v>
      </c>
      <c r="BEJ4">
        <v>23</v>
      </c>
      <c r="BEK4">
        <v>7</v>
      </c>
      <c r="BEL4">
        <v>40</v>
      </c>
      <c r="BEM4">
        <v>15</v>
      </c>
      <c r="BEN4">
        <v>40</v>
      </c>
      <c r="BEO4">
        <v>15</v>
      </c>
      <c r="BEP4">
        <v>0</v>
      </c>
      <c r="BEQ4">
        <v>0</v>
      </c>
      <c r="BER4">
        <v>1549</v>
      </c>
      <c r="BES4">
        <v>20</v>
      </c>
      <c r="BET4">
        <v>4</v>
      </c>
      <c r="BEU4">
        <v>24</v>
      </c>
      <c r="BEV4">
        <v>7</v>
      </c>
      <c r="BEW4">
        <v>40</v>
      </c>
      <c r="BEX4">
        <v>15</v>
      </c>
      <c r="BEY4">
        <v>40</v>
      </c>
      <c r="BEZ4">
        <v>15</v>
      </c>
      <c r="BFA4">
        <v>0</v>
      </c>
      <c r="BFB4">
        <v>0</v>
      </c>
      <c r="BFC4">
        <v>1549</v>
      </c>
      <c r="BFD4">
        <v>20</v>
      </c>
      <c r="BFE4">
        <v>4</v>
      </c>
      <c r="BFF4">
        <v>25</v>
      </c>
      <c r="BFG4">
        <v>7</v>
      </c>
      <c r="BFH4">
        <v>40</v>
      </c>
      <c r="BFI4">
        <v>15</v>
      </c>
      <c r="BFJ4">
        <v>40</v>
      </c>
      <c r="BFK4">
        <v>15</v>
      </c>
      <c r="BFL4">
        <v>0</v>
      </c>
      <c r="BFM4">
        <v>0</v>
      </c>
      <c r="BFN4">
        <v>1549</v>
      </c>
      <c r="BFO4">
        <v>21</v>
      </c>
      <c r="BFP4">
        <v>4</v>
      </c>
      <c r="BFQ4">
        <v>23</v>
      </c>
      <c r="BFR4">
        <v>7</v>
      </c>
      <c r="BFS4">
        <v>40</v>
      </c>
      <c r="BFT4">
        <v>15</v>
      </c>
      <c r="BFU4">
        <v>40</v>
      </c>
      <c r="BFV4">
        <v>15</v>
      </c>
      <c r="BFW4">
        <v>0</v>
      </c>
      <c r="BFX4">
        <v>0</v>
      </c>
      <c r="BFY4">
        <v>1549</v>
      </c>
      <c r="BFZ4">
        <v>21</v>
      </c>
      <c r="BGA4">
        <v>4</v>
      </c>
      <c r="BGB4">
        <v>24</v>
      </c>
      <c r="BGC4">
        <v>7</v>
      </c>
      <c r="BGD4">
        <v>40</v>
      </c>
      <c r="BGE4">
        <v>15</v>
      </c>
      <c r="BGF4">
        <v>40</v>
      </c>
      <c r="BGG4">
        <v>15</v>
      </c>
      <c r="BGH4">
        <v>0</v>
      </c>
      <c r="BGI4">
        <v>0</v>
      </c>
      <c r="BGJ4">
        <v>1549</v>
      </c>
      <c r="BGK4">
        <v>21</v>
      </c>
      <c r="BGL4">
        <v>4</v>
      </c>
      <c r="BGM4">
        <v>25</v>
      </c>
      <c r="BGN4">
        <v>7</v>
      </c>
      <c r="BGO4">
        <v>40</v>
      </c>
      <c r="BGP4">
        <v>15</v>
      </c>
      <c r="BGQ4">
        <v>40</v>
      </c>
      <c r="BGR4">
        <v>15</v>
      </c>
      <c r="BGS4">
        <v>0</v>
      </c>
      <c r="BGT4">
        <v>0</v>
      </c>
      <c r="BGU4">
        <v>1549</v>
      </c>
      <c r="BGV4">
        <v>22</v>
      </c>
      <c r="BGW4">
        <v>4</v>
      </c>
      <c r="BGX4">
        <v>23</v>
      </c>
      <c r="BGY4">
        <v>7</v>
      </c>
      <c r="BGZ4">
        <v>40</v>
      </c>
      <c r="BHA4">
        <v>15</v>
      </c>
      <c r="BHB4">
        <v>40</v>
      </c>
      <c r="BHC4">
        <v>15</v>
      </c>
      <c r="BHD4">
        <v>0</v>
      </c>
      <c r="BHE4">
        <v>0</v>
      </c>
      <c r="BHF4">
        <v>1549</v>
      </c>
      <c r="BHG4">
        <v>22</v>
      </c>
      <c r="BHH4">
        <v>4</v>
      </c>
      <c r="BHI4">
        <v>24</v>
      </c>
      <c r="BHJ4">
        <v>7</v>
      </c>
      <c r="BHK4">
        <v>40</v>
      </c>
      <c r="BHL4">
        <v>15</v>
      </c>
      <c r="BHM4">
        <v>40</v>
      </c>
      <c r="BHN4">
        <v>15</v>
      </c>
      <c r="BHO4">
        <v>0</v>
      </c>
      <c r="BHP4">
        <v>0</v>
      </c>
      <c r="BHQ4">
        <v>1549</v>
      </c>
      <c r="BHR4">
        <v>22</v>
      </c>
      <c r="BHS4">
        <v>4</v>
      </c>
      <c r="BHT4">
        <v>25</v>
      </c>
      <c r="BHU4">
        <v>7</v>
      </c>
      <c r="BHV4">
        <v>40</v>
      </c>
      <c r="BHW4">
        <v>15</v>
      </c>
      <c r="BHX4">
        <v>40</v>
      </c>
      <c r="BHY4">
        <v>15</v>
      </c>
    </row>
    <row r="5" spans="1:1585" x14ac:dyDescent="0.3">
      <c r="A5" t="s">
        <v>197</v>
      </c>
      <c r="B5">
        <v>0</v>
      </c>
      <c r="C5">
        <v>0</v>
      </c>
      <c r="D5">
        <v>333.64285714285722</v>
      </c>
      <c r="E5">
        <v>20</v>
      </c>
      <c r="F5">
        <v>3</v>
      </c>
      <c r="G5">
        <v>23</v>
      </c>
      <c r="H5">
        <v>5</v>
      </c>
      <c r="I5" s="7">
        <v>10</v>
      </c>
      <c r="J5">
        <v>12</v>
      </c>
      <c r="K5">
        <v>10</v>
      </c>
      <c r="L5">
        <v>11</v>
      </c>
      <c r="M5">
        <v>0</v>
      </c>
      <c r="N5">
        <v>0</v>
      </c>
      <c r="O5">
        <v>333.64285714285722</v>
      </c>
      <c r="P5">
        <v>20</v>
      </c>
      <c r="Q5">
        <v>3</v>
      </c>
      <c r="R5">
        <v>24</v>
      </c>
      <c r="S5">
        <v>5</v>
      </c>
      <c r="T5">
        <v>10</v>
      </c>
      <c r="U5">
        <v>12</v>
      </c>
      <c r="V5">
        <v>10</v>
      </c>
      <c r="W5">
        <v>11</v>
      </c>
      <c r="X5">
        <v>0</v>
      </c>
      <c r="Y5">
        <v>0</v>
      </c>
      <c r="Z5">
        <v>333.64285714285722</v>
      </c>
      <c r="AA5">
        <v>20</v>
      </c>
      <c r="AB5">
        <v>3</v>
      </c>
      <c r="AC5">
        <v>25</v>
      </c>
      <c r="AD5">
        <v>5</v>
      </c>
      <c r="AE5">
        <v>10</v>
      </c>
      <c r="AF5">
        <v>12</v>
      </c>
      <c r="AG5">
        <v>10</v>
      </c>
      <c r="AH5">
        <v>11</v>
      </c>
      <c r="AI5">
        <v>0</v>
      </c>
      <c r="AJ5">
        <v>0</v>
      </c>
      <c r="AK5">
        <v>333.64285714285722</v>
      </c>
      <c r="AL5">
        <v>21</v>
      </c>
      <c r="AM5">
        <v>3</v>
      </c>
      <c r="AN5">
        <v>23</v>
      </c>
      <c r="AO5">
        <v>5</v>
      </c>
      <c r="AP5">
        <v>10</v>
      </c>
      <c r="AQ5">
        <v>12</v>
      </c>
      <c r="AR5">
        <v>10</v>
      </c>
      <c r="AS5">
        <v>11</v>
      </c>
      <c r="AT5">
        <v>0</v>
      </c>
      <c r="AU5">
        <v>0</v>
      </c>
      <c r="AV5">
        <v>333.64285714285722</v>
      </c>
      <c r="AW5">
        <v>21</v>
      </c>
      <c r="AX5">
        <v>3</v>
      </c>
      <c r="AY5">
        <v>24</v>
      </c>
      <c r="AZ5">
        <v>5</v>
      </c>
      <c r="BA5">
        <v>10</v>
      </c>
      <c r="BB5">
        <v>12</v>
      </c>
      <c r="BC5">
        <v>10</v>
      </c>
      <c r="BD5">
        <v>11</v>
      </c>
      <c r="BE5">
        <v>0</v>
      </c>
      <c r="BF5">
        <v>0</v>
      </c>
      <c r="BG5">
        <v>333.64285714285722</v>
      </c>
      <c r="BH5">
        <v>21</v>
      </c>
      <c r="BI5">
        <v>3</v>
      </c>
      <c r="BJ5">
        <v>25</v>
      </c>
      <c r="BK5">
        <v>5</v>
      </c>
      <c r="BL5">
        <v>10</v>
      </c>
      <c r="BM5">
        <v>12</v>
      </c>
      <c r="BN5">
        <v>10</v>
      </c>
      <c r="BO5">
        <v>11</v>
      </c>
      <c r="BP5">
        <v>0</v>
      </c>
      <c r="BQ5">
        <v>0</v>
      </c>
      <c r="BR5">
        <v>333.64285714285722</v>
      </c>
      <c r="BS5">
        <v>22</v>
      </c>
      <c r="BT5">
        <v>3</v>
      </c>
      <c r="BU5">
        <v>23</v>
      </c>
      <c r="BV5">
        <v>5</v>
      </c>
      <c r="BW5">
        <v>10</v>
      </c>
      <c r="BX5">
        <v>12</v>
      </c>
      <c r="BY5">
        <v>10</v>
      </c>
      <c r="BZ5">
        <v>11</v>
      </c>
      <c r="CA5">
        <v>0</v>
      </c>
      <c r="CB5">
        <v>0</v>
      </c>
      <c r="CC5">
        <v>333.64285714285722</v>
      </c>
      <c r="CD5">
        <v>22</v>
      </c>
      <c r="CE5">
        <v>3</v>
      </c>
      <c r="CF5">
        <v>24</v>
      </c>
      <c r="CG5">
        <v>5</v>
      </c>
      <c r="CH5">
        <v>10</v>
      </c>
      <c r="CI5">
        <v>12</v>
      </c>
      <c r="CJ5">
        <v>10</v>
      </c>
      <c r="CK5">
        <v>11</v>
      </c>
      <c r="CL5">
        <v>0</v>
      </c>
      <c r="CM5">
        <v>0</v>
      </c>
      <c r="CN5">
        <v>333.64285714285722</v>
      </c>
      <c r="CO5">
        <v>22</v>
      </c>
      <c r="CP5">
        <v>3</v>
      </c>
      <c r="CQ5">
        <v>25</v>
      </c>
      <c r="CR5">
        <v>5</v>
      </c>
      <c r="CS5">
        <v>10</v>
      </c>
      <c r="CT5">
        <v>12</v>
      </c>
      <c r="CU5">
        <v>10</v>
      </c>
      <c r="CV5">
        <v>11</v>
      </c>
      <c r="CW5">
        <v>0</v>
      </c>
      <c r="CX5">
        <v>0</v>
      </c>
      <c r="CY5">
        <v>1309.5714285714289</v>
      </c>
      <c r="CZ5">
        <v>20</v>
      </c>
      <c r="DA5">
        <v>3</v>
      </c>
      <c r="DB5">
        <v>23</v>
      </c>
      <c r="DC5">
        <v>5</v>
      </c>
      <c r="DD5">
        <v>40</v>
      </c>
      <c r="DE5">
        <v>15</v>
      </c>
      <c r="DF5">
        <v>40</v>
      </c>
      <c r="DG5">
        <v>15</v>
      </c>
      <c r="DH5">
        <v>0</v>
      </c>
      <c r="DI5">
        <v>0</v>
      </c>
      <c r="DJ5">
        <v>1309.5714285714289</v>
      </c>
      <c r="DK5">
        <v>20</v>
      </c>
      <c r="DL5">
        <v>3</v>
      </c>
      <c r="DM5">
        <v>24</v>
      </c>
      <c r="DN5">
        <v>5</v>
      </c>
      <c r="DO5">
        <v>40</v>
      </c>
      <c r="DP5">
        <v>15</v>
      </c>
      <c r="DQ5">
        <v>40</v>
      </c>
      <c r="DR5">
        <v>15</v>
      </c>
      <c r="DS5">
        <v>0</v>
      </c>
      <c r="DT5">
        <v>0</v>
      </c>
      <c r="DU5">
        <v>1309.5714285714289</v>
      </c>
      <c r="DV5">
        <v>20</v>
      </c>
      <c r="DW5">
        <v>3</v>
      </c>
      <c r="DX5">
        <v>25</v>
      </c>
      <c r="DY5">
        <v>5</v>
      </c>
      <c r="DZ5">
        <v>40</v>
      </c>
      <c r="EA5">
        <v>15</v>
      </c>
      <c r="EB5">
        <v>40</v>
      </c>
      <c r="EC5">
        <v>15</v>
      </c>
      <c r="ED5">
        <v>0</v>
      </c>
      <c r="EE5">
        <v>0</v>
      </c>
      <c r="EF5">
        <v>1309.5714285714289</v>
      </c>
      <c r="EG5">
        <v>21</v>
      </c>
      <c r="EH5">
        <v>3</v>
      </c>
      <c r="EI5">
        <v>23</v>
      </c>
      <c r="EJ5">
        <v>5</v>
      </c>
      <c r="EK5">
        <v>40</v>
      </c>
      <c r="EL5">
        <v>15</v>
      </c>
      <c r="EM5">
        <v>40</v>
      </c>
      <c r="EN5">
        <v>15</v>
      </c>
      <c r="EO5">
        <v>0</v>
      </c>
      <c r="EP5">
        <v>0</v>
      </c>
      <c r="EQ5">
        <v>1309.5714285714289</v>
      </c>
      <c r="ER5">
        <v>21</v>
      </c>
      <c r="ES5">
        <v>3</v>
      </c>
      <c r="ET5">
        <v>24</v>
      </c>
      <c r="EU5">
        <v>5</v>
      </c>
      <c r="EV5">
        <v>40</v>
      </c>
      <c r="EW5">
        <v>15</v>
      </c>
      <c r="EX5">
        <v>40</v>
      </c>
      <c r="EY5">
        <v>15</v>
      </c>
      <c r="EZ5">
        <v>0</v>
      </c>
      <c r="FA5">
        <v>0</v>
      </c>
      <c r="FB5">
        <v>1309.5714285714289</v>
      </c>
      <c r="FC5">
        <v>21</v>
      </c>
      <c r="FD5">
        <v>3</v>
      </c>
      <c r="FE5">
        <v>25</v>
      </c>
      <c r="FF5">
        <v>5</v>
      </c>
      <c r="FG5">
        <v>40</v>
      </c>
      <c r="FH5">
        <v>15</v>
      </c>
      <c r="FI5">
        <v>40</v>
      </c>
      <c r="FJ5">
        <v>15</v>
      </c>
      <c r="FK5">
        <v>0</v>
      </c>
      <c r="FL5">
        <v>0</v>
      </c>
      <c r="FM5">
        <v>1309.5714285714289</v>
      </c>
      <c r="FN5">
        <v>22</v>
      </c>
      <c r="FO5">
        <v>3</v>
      </c>
      <c r="FP5">
        <v>23</v>
      </c>
      <c r="FQ5">
        <v>5</v>
      </c>
      <c r="FR5">
        <v>40</v>
      </c>
      <c r="FS5">
        <v>15</v>
      </c>
      <c r="FT5">
        <v>40</v>
      </c>
      <c r="FU5">
        <v>15</v>
      </c>
      <c r="FV5">
        <v>0</v>
      </c>
      <c r="FW5">
        <v>0</v>
      </c>
      <c r="FX5">
        <v>1309.5714285714289</v>
      </c>
      <c r="FY5">
        <v>22</v>
      </c>
      <c r="FZ5">
        <v>3</v>
      </c>
      <c r="GA5">
        <v>24</v>
      </c>
      <c r="GB5">
        <v>5</v>
      </c>
      <c r="GC5">
        <v>40</v>
      </c>
      <c r="GD5">
        <v>15</v>
      </c>
      <c r="GE5">
        <v>40</v>
      </c>
      <c r="GF5">
        <v>15</v>
      </c>
      <c r="GG5">
        <v>0</v>
      </c>
      <c r="GH5">
        <v>0</v>
      </c>
      <c r="GI5">
        <v>1309.5714285714289</v>
      </c>
      <c r="GJ5">
        <v>22</v>
      </c>
      <c r="GK5">
        <v>3</v>
      </c>
      <c r="GL5">
        <v>25</v>
      </c>
      <c r="GM5">
        <v>5</v>
      </c>
      <c r="GN5">
        <v>40</v>
      </c>
      <c r="GO5">
        <v>15</v>
      </c>
      <c r="GP5">
        <v>40</v>
      </c>
      <c r="GQ5">
        <v>15</v>
      </c>
      <c r="GR5">
        <v>0</v>
      </c>
      <c r="GS5">
        <v>0</v>
      </c>
      <c r="GT5">
        <v>333.64285714285722</v>
      </c>
      <c r="GU5">
        <v>20</v>
      </c>
      <c r="GV5">
        <v>3</v>
      </c>
      <c r="GW5">
        <v>23</v>
      </c>
      <c r="GX5">
        <v>7</v>
      </c>
      <c r="GY5">
        <v>10</v>
      </c>
      <c r="GZ5">
        <v>12</v>
      </c>
      <c r="HA5">
        <v>10</v>
      </c>
      <c r="HB5">
        <v>11</v>
      </c>
      <c r="HC5">
        <v>0</v>
      </c>
      <c r="HD5">
        <v>0</v>
      </c>
      <c r="HE5">
        <v>333.64285714285722</v>
      </c>
      <c r="HF5">
        <v>20</v>
      </c>
      <c r="HG5">
        <v>3</v>
      </c>
      <c r="HH5">
        <v>24</v>
      </c>
      <c r="HI5">
        <v>7</v>
      </c>
      <c r="HJ5">
        <v>10</v>
      </c>
      <c r="HK5">
        <v>12</v>
      </c>
      <c r="HL5">
        <v>10</v>
      </c>
      <c r="HM5">
        <v>11</v>
      </c>
      <c r="HN5">
        <v>0</v>
      </c>
      <c r="HO5">
        <v>0</v>
      </c>
      <c r="HP5">
        <v>333.64285714285722</v>
      </c>
      <c r="HQ5">
        <v>20</v>
      </c>
      <c r="HR5">
        <v>3</v>
      </c>
      <c r="HS5">
        <v>25</v>
      </c>
      <c r="HT5">
        <v>7</v>
      </c>
      <c r="HU5">
        <v>10</v>
      </c>
      <c r="HV5">
        <v>12</v>
      </c>
      <c r="HW5">
        <v>10</v>
      </c>
      <c r="HX5">
        <v>11</v>
      </c>
      <c r="HY5">
        <v>0</v>
      </c>
      <c r="HZ5">
        <v>0</v>
      </c>
      <c r="IA5">
        <v>333.64285714285722</v>
      </c>
      <c r="IB5">
        <v>21</v>
      </c>
      <c r="IC5">
        <v>3</v>
      </c>
      <c r="ID5">
        <v>23</v>
      </c>
      <c r="IE5">
        <v>7</v>
      </c>
      <c r="IF5">
        <v>10</v>
      </c>
      <c r="IG5">
        <v>12</v>
      </c>
      <c r="IH5">
        <v>10</v>
      </c>
      <c r="II5">
        <v>11</v>
      </c>
      <c r="IJ5">
        <v>0</v>
      </c>
      <c r="IK5">
        <v>0</v>
      </c>
      <c r="IL5">
        <v>333.64285714285722</v>
      </c>
      <c r="IM5">
        <v>21</v>
      </c>
      <c r="IN5">
        <v>3</v>
      </c>
      <c r="IO5">
        <v>24</v>
      </c>
      <c r="IP5">
        <v>7</v>
      </c>
      <c r="IQ5">
        <v>10</v>
      </c>
      <c r="IR5">
        <v>12</v>
      </c>
      <c r="IS5">
        <v>10</v>
      </c>
      <c r="IT5">
        <v>11</v>
      </c>
      <c r="IU5">
        <v>0</v>
      </c>
      <c r="IV5">
        <v>0</v>
      </c>
      <c r="IW5">
        <v>333.64285714285722</v>
      </c>
      <c r="IX5">
        <v>21</v>
      </c>
      <c r="IY5">
        <v>3</v>
      </c>
      <c r="IZ5">
        <v>25</v>
      </c>
      <c r="JA5">
        <v>7</v>
      </c>
      <c r="JB5">
        <v>10</v>
      </c>
      <c r="JC5">
        <v>12</v>
      </c>
      <c r="JD5">
        <v>10</v>
      </c>
      <c r="JE5">
        <v>11</v>
      </c>
      <c r="JF5">
        <v>0</v>
      </c>
      <c r="JG5">
        <v>0</v>
      </c>
      <c r="JH5">
        <v>333.64285714285722</v>
      </c>
      <c r="JI5">
        <v>22</v>
      </c>
      <c r="JJ5">
        <v>3</v>
      </c>
      <c r="JK5">
        <v>23</v>
      </c>
      <c r="JL5">
        <v>7</v>
      </c>
      <c r="JM5">
        <v>10</v>
      </c>
      <c r="JN5">
        <v>12</v>
      </c>
      <c r="JO5">
        <v>10</v>
      </c>
      <c r="JP5">
        <v>11</v>
      </c>
      <c r="JQ5">
        <v>0</v>
      </c>
      <c r="JR5">
        <v>0</v>
      </c>
      <c r="JS5">
        <v>333.64285714285722</v>
      </c>
      <c r="JT5">
        <v>22</v>
      </c>
      <c r="JU5">
        <v>3</v>
      </c>
      <c r="JV5">
        <v>24</v>
      </c>
      <c r="JW5">
        <v>7</v>
      </c>
      <c r="JX5">
        <v>10</v>
      </c>
      <c r="JY5">
        <v>12</v>
      </c>
      <c r="JZ5">
        <v>10</v>
      </c>
      <c r="KA5">
        <v>11</v>
      </c>
      <c r="KB5">
        <v>0</v>
      </c>
      <c r="KC5">
        <v>0</v>
      </c>
      <c r="KD5">
        <v>333.64285714285722</v>
      </c>
      <c r="KE5">
        <v>22</v>
      </c>
      <c r="KF5">
        <v>3</v>
      </c>
      <c r="KG5">
        <v>25</v>
      </c>
      <c r="KH5">
        <v>7</v>
      </c>
      <c r="KI5">
        <v>10</v>
      </c>
      <c r="KJ5">
        <v>12</v>
      </c>
      <c r="KK5">
        <v>10</v>
      </c>
      <c r="KL5">
        <v>11</v>
      </c>
      <c r="KM5">
        <v>0</v>
      </c>
      <c r="KN5">
        <v>0</v>
      </c>
      <c r="KO5">
        <v>1309.5714285714289</v>
      </c>
      <c r="KP5">
        <v>20</v>
      </c>
      <c r="KQ5">
        <v>3</v>
      </c>
      <c r="KR5">
        <v>23</v>
      </c>
      <c r="KS5">
        <v>7</v>
      </c>
      <c r="KT5">
        <v>40</v>
      </c>
      <c r="KU5">
        <v>15</v>
      </c>
      <c r="KV5">
        <v>40</v>
      </c>
      <c r="KW5">
        <v>15</v>
      </c>
      <c r="KX5">
        <v>0</v>
      </c>
      <c r="KY5">
        <v>0</v>
      </c>
      <c r="KZ5">
        <v>1309.5714285714289</v>
      </c>
      <c r="LA5">
        <v>20</v>
      </c>
      <c r="LB5">
        <v>3</v>
      </c>
      <c r="LC5">
        <v>24</v>
      </c>
      <c r="LD5">
        <v>7</v>
      </c>
      <c r="LE5">
        <v>40</v>
      </c>
      <c r="LF5">
        <v>15</v>
      </c>
      <c r="LG5">
        <v>40</v>
      </c>
      <c r="LH5">
        <v>15</v>
      </c>
      <c r="LI5">
        <v>0</v>
      </c>
      <c r="LJ5">
        <v>0</v>
      </c>
      <c r="LK5">
        <v>1309.5714285714289</v>
      </c>
      <c r="LL5">
        <v>20</v>
      </c>
      <c r="LM5">
        <v>3</v>
      </c>
      <c r="LN5">
        <v>25</v>
      </c>
      <c r="LO5">
        <v>7</v>
      </c>
      <c r="LP5">
        <v>40</v>
      </c>
      <c r="LQ5">
        <v>15</v>
      </c>
      <c r="LR5">
        <v>40</v>
      </c>
      <c r="LS5">
        <v>15</v>
      </c>
      <c r="LT5">
        <v>0</v>
      </c>
      <c r="LU5">
        <v>0</v>
      </c>
      <c r="LV5">
        <v>1309.5714285714289</v>
      </c>
      <c r="LW5">
        <v>21</v>
      </c>
      <c r="LX5">
        <v>3</v>
      </c>
      <c r="LY5">
        <v>23</v>
      </c>
      <c r="LZ5">
        <v>7</v>
      </c>
      <c r="MA5">
        <v>40</v>
      </c>
      <c r="MB5">
        <v>15</v>
      </c>
      <c r="MC5">
        <v>40</v>
      </c>
      <c r="MD5">
        <v>15</v>
      </c>
      <c r="ME5">
        <v>0</v>
      </c>
      <c r="MF5">
        <v>0</v>
      </c>
      <c r="MG5">
        <v>1309.5714285714289</v>
      </c>
      <c r="MH5">
        <v>21</v>
      </c>
      <c r="MI5">
        <v>3</v>
      </c>
      <c r="MJ5">
        <v>24</v>
      </c>
      <c r="MK5">
        <v>7</v>
      </c>
      <c r="ML5">
        <v>40</v>
      </c>
      <c r="MM5">
        <v>15</v>
      </c>
      <c r="MN5">
        <v>40</v>
      </c>
      <c r="MO5">
        <v>15</v>
      </c>
      <c r="MP5">
        <v>0</v>
      </c>
      <c r="MQ5">
        <v>0</v>
      </c>
      <c r="MR5">
        <v>1309.5714285714289</v>
      </c>
      <c r="MS5">
        <v>21</v>
      </c>
      <c r="MT5">
        <v>3</v>
      </c>
      <c r="MU5">
        <v>25</v>
      </c>
      <c r="MV5">
        <v>7</v>
      </c>
      <c r="MW5">
        <v>40</v>
      </c>
      <c r="MX5">
        <v>15</v>
      </c>
      <c r="MY5">
        <v>40</v>
      </c>
      <c r="MZ5">
        <v>15</v>
      </c>
      <c r="NA5">
        <v>0</v>
      </c>
      <c r="NB5">
        <v>0</v>
      </c>
      <c r="NC5">
        <v>1309.5714285714289</v>
      </c>
      <c r="ND5">
        <v>22</v>
      </c>
      <c r="NE5">
        <v>3</v>
      </c>
      <c r="NF5">
        <v>23</v>
      </c>
      <c r="NG5">
        <v>7</v>
      </c>
      <c r="NH5">
        <v>40</v>
      </c>
      <c r="NI5">
        <v>15</v>
      </c>
      <c r="NJ5">
        <v>40</v>
      </c>
      <c r="NK5">
        <v>15</v>
      </c>
      <c r="NL5">
        <v>0</v>
      </c>
      <c r="NM5">
        <v>0</v>
      </c>
      <c r="NN5">
        <v>1309.5714285714289</v>
      </c>
      <c r="NO5">
        <v>22</v>
      </c>
      <c r="NP5">
        <v>3</v>
      </c>
      <c r="NQ5">
        <v>24</v>
      </c>
      <c r="NR5">
        <v>7</v>
      </c>
      <c r="NS5">
        <v>40</v>
      </c>
      <c r="NT5">
        <v>15</v>
      </c>
      <c r="NU5">
        <v>40</v>
      </c>
      <c r="NV5">
        <v>15</v>
      </c>
      <c r="NW5">
        <v>0</v>
      </c>
      <c r="NX5">
        <v>0</v>
      </c>
      <c r="NY5">
        <v>1309.5714285714289</v>
      </c>
      <c r="NZ5">
        <v>22</v>
      </c>
      <c r="OA5">
        <v>3</v>
      </c>
      <c r="OB5">
        <v>25</v>
      </c>
      <c r="OC5">
        <v>7</v>
      </c>
      <c r="OD5">
        <v>40</v>
      </c>
      <c r="OE5">
        <v>15</v>
      </c>
      <c r="OF5">
        <v>40</v>
      </c>
      <c r="OG5">
        <v>15</v>
      </c>
      <c r="OH5">
        <v>0</v>
      </c>
      <c r="OI5">
        <v>0</v>
      </c>
      <c r="OJ5">
        <v>333.64285714285722</v>
      </c>
      <c r="OK5">
        <v>20</v>
      </c>
      <c r="OL5">
        <v>4</v>
      </c>
      <c r="OM5">
        <v>23</v>
      </c>
      <c r="ON5">
        <v>5</v>
      </c>
      <c r="OO5">
        <v>10</v>
      </c>
      <c r="OP5">
        <v>12</v>
      </c>
      <c r="OQ5">
        <v>10</v>
      </c>
      <c r="OR5">
        <v>11</v>
      </c>
      <c r="OS5">
        <v>0</v>
      </c>
      <c r="OT5">
        <v>0</v>
      </c>
      <c r="OU5">
        <v>333.64285714285722</v>
      </c>
      <c r="OV5">
        <v>20</v>
      </c>
      <c r="OW5">
        <v>4</v>
      </c>
      <c r="OX5">
        <v>24</v>
      </c>
      <c r="OY5">
        <v>5</v>
      </c>
      <c r="OZ5">
        <v>10</v>
      </c>
      <c r="PA5">
        <v>12</v>
      </c>
      <c r="PB5">
        <v>10</v>
      </c>
      <c r="PC5">
        <v>11</v>
      </c>
      <c r="PD5">
        <v>0</v>
      </c>
      <c r="PE5">
        <v>0</v>
      </c>
      <c r="PF5">
        <v>333.64285714285722</v>
      </c>
      <c r="PG5">
        <v>20</v>
      </c>
      <c r="PH5">
        <v>4</v>
      </c>
      <c r="PI5">
        <v>25</v>
      </c>
      <c r="PJ5">
        <v>5</v>
      </c>
      <c r="PK5">
        <v>10</v>
      </c>
      <c r="PL5">
        <v>12</v>
      </c>
      <c r="PM5">
        <v>10</v>
      </c>
      <c r="PN5">
        <v>11</v>
      </c>
      <c r="PO5">
        <v>0</v>
      </c>
      <c r="PP5">
        <v>0</v>
      </c>
      <c r="PQ5">
        <v>333.64285714285722</v>
      </c>
      <c r="PR5">
        <v>21</v>
      </c>
      <c r="PS5">
        <v>4</v>
      </c>
      <c r="PT5">
        <v>23</v>
      </c>
      <c r="PU5">
        <v>5</v>
      </c>
      <c r="PV5">
        <v>10</v>
      </c>
      <c r="PW5">
        <v>12</v>
      </c>
      <c r="PX5">
        <v>10</v>
      </c>
      <c r="PY5">
        <v>11</v>
      </c>
      <c r="PZ5">
        <v>0</v>
      </c>
      <c r="QA5">
        <v>0</v>
      </c>
      <c r="QB5">
        <v>333.64285714285722</v>
      </c>
      <c r="QC5">
        <v>21</v>
      </c>
      <c r="QD5">
        <v>4</v>
      </c>
      <c r="QE5">
        <v>24</v>
      </c>
      <c r="QF5">
        <v>5</v>
      </c>
      <c r="QG5">
        <v>10</v>
      </c>
      <c r="QH5">
        <v>12</v>
      </c>
      <c r="QI5">
        <v>10</v>
      </c>
      <c r="QJ5">
        <v>11</v>
      </c>
      <c r="QK5">
        <v>0</v>
      </c>
      <c r="QL5">
        <v>0</v>
      </c>
      <c r="QM5">
        <v>333.64285714285722</v>
      </c>
      <c r="QN5">
        <v>21</v>
      </c>
      <c r="QO5">
        <v>4</v>
      </c>
      <c r="QP5">
        <v>25</v>
      </c>
      <c r="QQ5">
        <v>5</v>
      </c>
      <c r="QR5">
        <v>10</v>
      </c>
      <c r="QS5">
        <v>12</v>
      </c>
      <c r="QT5">
        <v>10</v>
      </c>
      <c r="QU5">
        <v>11</v>
      </c>
      <c r="QV5">
        <v>0</v>
      </c>
      <c r="QW5">
        <v>0</v>
      </c>
      <c r="QX5">
        <v>333.64285714285722</v>
      </c>
      <c r="QY5">
        <v>22</v>
      </c>
      <c r="QZ5">
        <v>4</v>
      </c>
      <c r="RA5">
        <v>23</v>
      </c>
      <c r="RB5">
        <v>5</v>
      </c>
      <c r="RC5">
        <v>10</v>
      </c>
      <c r="RD5">
        <v>12</v>
      </c>
      <c r="RE5">
        <v>10</v>
      </c>
      <c r="RF5">
        <v>11</v>
      </c>
      <c r="RG5">
        <v>0</v>
      </c>
      <c r="RH5">
        <v>0</v>
      </c>
      <c r="RI5">
        <v>333.64285714285722</v>
      </c>
      <c r="RJ5">
        <v>22</v>
      </c>
      <c r="RK5">
        <v>4</v>
      </c>
      <c r="RL5">
        <v>24</v>
      </c>
      <c r="RM5">
        <v>5</v>
      </c>
      <c r="RN5">
        <v>10</v>
      </c>
      <c r="RO5">
        <v>12</v>
      </c>
      <c r="RP5">
        <v>10</v>
      </c>
      <c r="RQ5">
        <v>11</v>
      </c>
      <c r="RR5">
        <v>0</v>
      </c>
      <c r="RS5">
        <v>0</v>
      </c>
      <c r="RT5">
        <v>333.64285714285722</v>
      </c>
      <c r="RU5">
        <v>22</v>
      </c>
      <c r="RV5">
        <v>4</v>
      </c>
      <c r="RW5">
        <v>25</v>
      </c>
      <c r="RX5">
        <v>5</v>
      </c>
      <c r="RY5">
        <v>10</v>
      </c>
      <c r="RZ5">
        <v>12</v>
      </c>
      <c r="SA5">
        <v>10</v>
      </c>
      <c r="SB5">
        <v>11</v>
      </c>
      <c r="SC5">
        <v>0</v>
      </c>
      <c r="SD5">
        <v>0</v>
      </c>
      <c r="SE5">
        <v>1309.5714285714289</v>
      </c>
      <c r="SF5">
        <v>20</v>
      </c>
      <c r="SG5">
        <v>4</v>
      </c>
      <c r="SH5">
        <v>23</v>
      </c>
      <c r="SI5">
        <v>5</v>
      </c>
      <c r="SJ5">
        <v>40</v>
      </c>
      <c r="SK5">
        <v>15</v>
      </c>
      <c r="SL5">
        <v>40</v>
      </c>
      <c r="SM5">
        <v>15</v>
      </c>
      <c r="SN5">
        <v>0</v>
      </c>
      <c r="SO5">
        <v>0</v>
      </c>
      <c r="SP5">
        <v>1309.5714285714289</v>
      </c>
      <c r="SQ5">
        <v>20</v>
      </c>
      <c r="SR5">
        <v>4</v>
      </c>
      <c r="SS5">
        <v>24</v>
      </c>
      <c r="ST5">
        <v>5</v>
      </c>
      <c r="SU5">
        <v>40</v>
      </c>
      <c r="SV5">
        <v>15</v>
      </c>
      <c r="SW5">
        <v>40</v>
      </c>
      <c r="SX5">
        <v>15</v>
      </c>
      <c r="SY5">
        <v>0</v>
      </c>
      <c r="SZ5">
        <v>0</v>
      </c>
      <c r="TA5">
        <v>1309.5714285714289</v>
      </c>
      <c r="TB5">
        <v>20</v>
      </c>
      <c r="TC5">
        <v>4</v>
      </c>
      <c r="TD5">
        <v>25</v>
      </c>
      <c r="TE5">
        <v>5</v>
      </c>
      <c r="TF5">
        <v>40</v>
      </c>
      <c r="TG5">
        <v>15</v>
      </c>
      <c r="TH5">
        <v>40</v>
      </c>
      <c r="TI5">
        <v>15</v>
      </c>
      <c r="TJ5">
        <v>0</v>
      </c>
      <c r="TK5">
        <v>0</v>
      </c>
      <c r="TL5">
        <v>1309.5714285714289</v>
      </c>
      <c r="TM5">
        <v>21</v>
      </c>
      <c r="TN5">
        <v>4</v>
      </c>
      <c r="TO5">
        <v>23</v>
      </c>
      <c r="TP5">
        <v>5</v>
      </c>
      <c r="TQ5">
        <v>40</v>
      </c>
      <c r="TR5">
        <v>15</v>
      </c>
      <c r="TS5">
        <v>40</v>
      </c>
      <c r="TT5">
        <v>15</v>
      </c>
      <c r="TU5">
        <v>0</v>
      </c>
      <c r="TV5">
        <v>0</v>
      </c>
      <c r="TW5">
        <v>1309.5714285714289</v>
      </c>
      <c r="TX5">
        <v>21</v>
      </c>
      <c r="TY5">
        <v>4</v>
      </c>
      <c r="TZ5">
        <v>24</v>
      </c>
      <c r="UA5">
        <v>5</v>
      </c>
      <c r="UB5">
        <v>40</v>
      </c>
      <c r="UC5">
        <v>15</v>
      </c>
      <c r="UD5">
        <v>40</v>
      </c>
      <c r="UE5">
        <v>15</v>
      </c>
      <c r="UF5">
        <v>0</v>
      </c>
      <c r="UG5">
        <v>0</v>
      </c>
      <c r="UH5">
        <v>1309.5714285714289</v>
      </c>
      <c r="UI5">
        <v>21</v>
      </c>
      <c r="UJ5">
        <v>4</v>
      </c>
      <c r="UK5">
        <v>25</v>
      </c>
      <c r="UL5">
        <v>5</v>
      </c>
      <c r="UM5">
        <v>40</v>
      </c>
      <c r="UN5">
        <v>15</v>
      </c>
      <c r="UO5">
        <v>40</v>
      </c>
      <c r="UP5">
        <v>15</v>
      </c>
      <c r="UQ5">
        <v>0</v>
      </c>
      <c r="UR5">
        <v>0</v>
      </c>
      <c r="US5">
        <v>1309.5714285714289</v>
      </c>
      <c r="UT5">
        <v>22</v>
      </c>
      <c r="UU5">
        <v>4</v>
      </c>
      <c r="UV5">
        <v>23</v>
      </c>
      <c r="UW5">
        <v>5</v>
      </c>
      <c r="UX5">
        <v>40</v>
      </c>
      <c r="UY5">
        <v>15</v>
      </c>
      <c r="UZ5">
        <v>40</v>
      </c>
      <c r="VA5">
        <v>15</v>
      </c>
      <c r="VB5">
        <v>0</v>
      </c>
      <c r="VC5">
        <v>0</v>
      </c>
      <c r="VD5">
        <v>1309.5714285714289</v>
      </c>
      <c r="VE5">
        <v>22</v>
      </c>
      <c r="VF5">
        <v>4</v>
      </c>
      <c r="VG5">
        <v>24</v>
      </c>
      <c r="VH5">
        <v>5</v>
      </c>
      <c r="VI5">
        <v>40</v>
      </c>
      <c r="VJ5">
        <v>15</v>
      </c>
      <c r="VK5">
        <v>40</v>
      </c>
      <c r="VL5">
        <v>15</v>
      </c>
      <c r="VM5">
        <v>0</v>
      </c>
      <c r="VN5">
        <v>0</v>
      </c>
      <c r="VO5">
        <v>1309.5714285714289</v>
      </c>
      <c r="VP5">
        <v>22</v>
      </c>
      <c r="VQ5">
        <v>4</v>
      </c>
      <c r="VR5">
        <v>25</v>
      </c>
      <c r="VS5">
        <v>5</v>
      </c>
      <c r="VT5">
        <v>40</v>
      </c>
      <c r="VU5">
        <v>15</v>
      </c>
      <c r="VV5">
        <v>40</v>
      </c>
      <c r="VW5">
        <v>15</v>
      </c>
      <c r="VX5">
        <v>0</v>
      </c>
      <c r="VY5">
        <v>0</v>
      </c>
      <c r="VZ5">
        <v>333.64285714285722</v>
      </c>
      <c r="WA5">
        <v>20</v>
      </c>
      <c r="WB5">
        <v>4</v>
      </c>
      <c r="WC5">
        <v>23</v>
      </c>
      <c r="WD5">
        <v>7</v>
      </c>
      <c r="WE5">
        <v>10</v>
      </c>
      <c r="WF5">
        <v>12</v>
      </c>
      <c r="WG5">
        <v>10</v>
      </c>
      <c r="WH5">
        <v>11</v>
      </c>
      <c r="WI5">
        <v>0</v>
      </c>
      <c r="WJ5">
        <v>0</v>
      </c>
      <c r="WK5">
        <v>333.64285714285722</v>
      </c>
      <c r="WL5">
        <v>20</v>
      </c>
      <c r="WM5">
        <v>4</v>
      </c>
      <c r="WN5">
        <v>24</v>
      </c>
      <c r="WO5">
        <v>7</v>
      </c>
      <c r="WP5">
        <v>10</v>
      </c>
      <c r="WQ5">
        <v>12</v>
      </c>
      <c r="WR5">
        <v>10</v>
      </c>
      <c r="WS5">
        <v>11</v>
      </c>
      <c r="WT5">
        <v>0</v>
      </c>
      <c r="WU5">
        <v>0</v>
      </c>
      <c r="WV5">
        <v>333.64285714285722</v>
      </c>
      <c r="WW5">
        <v>20</v>
      </c>
      <c r="WX5">
        <v>4</v>
      </c>
      <c r="WY5">
        <v>25</v>
      </c>
      <c r="WZ5">
        <v>7</v>
      </c>
      <c r="XA5">
        <v>10</v>
      </c>
      <c r="XB5">
        <v>12</v>
      </c>
      <c r="XC5">
        <v>10</v>
      </c>
      <c r="XD5">
        <v>11</v>
      </c>
      <c r="XE5">
        <v>0</v>
      </c>
      <c r="XF5">
        <v>0</v>
      </c>
      <c r="XG5">
        <v>333.64285714285722</v>
      </c>
      <c r="XH5">
        <v>21</v>
      </c>
      <c r="XI5">
        <v>4</v>
      </c>
      <c r="XJ5">
        <v>23</v>
      </c>
      <c r="XK5">
        <v>7</v>
      </c>
      <c r="XL5">
        <v>10</v>
      </c>
      <c r="XM5">
        <v>12</v>
      </c>
      <c r="XN5">
        <v>10</v>
      </c>
      <c r="XO5">
        <v>11</v>
      </c>
      <c r="XP5">
        <v>0</v>
      </c>
      <c r="XQ5">
        <v>0</v>
      </c>
      <c r="XR5">
        <v>333.64285714285722</v>
      </c>
      <c r="XS5">
        <v>21</v>
      </c>
      <c r="XT5">
        <v>4</v>
      </c>
      <c r="XU5">
        <v>24</v>
      </c>
      <c r="XV5">
        <v>7</v>
      </c>
      <c r="XW5">
        <v>10</v>
      </c>
      <c r="XX5">
        <v>12</v>
      </c>
      <c r="XY5">
        <v>10</v>
      </c>
      <c r="XZ5">
        <v>11</v>
      </c>
      <c r="YA5">
        <v>0</v>
      </c>
      <c r="YB5">
        <v>0</v>
      </c>
      <c r="YC5">
        <v>333.64285714285722</v>
      </c>
      <c r="YD5">
        <v>21</v>
      </c>
      <c r="YE5">
        <v>4</v>
      </c>
      <c r="YF5">
        <v>25</v>
      </c>
      <c r="YG5">
        <v>7</v>
      </c>
      <c r="YH5">
        <v>10</v>
      </c>
      <c r="YI5">
        <v>12</v>
      </c>
      <c r="YJ5">
        <v>10</v>
      </c>
      <c r="YK5">
        <v>11</v>
      </c>
      <c r="YL5">
        <v>0</v>
      </c>
      <c r="YM5">
        <v>0</v>
      </c>
      <c r="YN5">
        <v>333.64285714285722</v>
      </c>
      <c r="YO5">
        <v>22</v>
      </c>
      <c r="YP5">
        <v>4</v>
      </c>
      <c r="YQ5">
        <v>23</v>
      </c>
      <c r="YR5">
        <v>7</v>
      </c>
      <c r="YS5">
        <v>10</v>
      </c>
      <c r="YT5">
        <v>12</v>
      </c>
      <c r="YU5">
        <v>10</v>
      </c>
      <c r="YV5">
        <v>11</v>
      </c>
      <c r="YW5">
        <v>0</v>
      </c>
      <c r="YX5">
        <v>0</v>
      </c>
      <c r="YY5">
        <v>333.64285714285722</v>
      </c>
      <c r="YZ5">
        <v>22</v>
      </c>
      <c r="ZA5">
        <v>4</v>
      </c>
      <c r="ZB5">
        <v>24</v>
      </c>
      <c r="ZC5">
        <v>7</v>
      </c>
      <c r="ZD5">
        <v>10</v>
      </c>
      <c r="ZE5">
        <v>12</v>
      </c>
      <c r="ZF5">
        <v>10</v>
      </c>
      <c r="ZG5">
        <v>11</v>
      </c>
      <c r="ZH5">
        <v>0</v>
      </c>
      <c r="ZI5">
        <v>0</v>
      </c>
      <c r="ZJ5">
        <v>333.64285714285722</v>
      </c>
      <c r="ZK5">
        <v>22</v>
      </c>
      <c r="ZL5">
        <v>4</v>
      </c>
      <c r="ZM5">
        <v>25</v>
      </c>
      <c r="ZN5">
        <v>7</v>
      </c>
      <c r="ZO5">
        <v>10</v>
      </c>
      <c r="ZP5">
        <v>12</v>
      </c>
      <c r="ZQ5">
        <v>10</v>
      </c>
      <c r="ZR5">
        <v>11</v>
      </c>
      <c r="ZS5">
        <v>0</v>
      </c>
      <c r="ZT5">
        <v>0</v>
      </c>
      <c r="ZU5">
        <v>1309.5714285714289</v>
      </c>
      <c r="ZV5">
        <v>20</v>
      </c>
      <c r="ZW5">
        <v>4</v>
      </c>
      <c r="ZX5">
        <v>23</v>
      </c>
      <c r="ZY5">
        <v>7</v>
      </c>
      <c r="ZZ5">
        <v>40</v>
      </c>
      <c r="AAA5">
        <v>15</v>
      </c>
      <c r="AAB5">
        <v>40</v>
      </c>
      <c r="AAC5">
        <v>15</v>
      </c>
      <c r="AAD5">
        <v>0</v>
      </c>
      <c r="AAE5">
        <v>0</v>
      </c>
      <c r="AAF5">
        <v>1309.5714285714289</v>
      </c>
      <c r="AAG5">
        <v>20</v>
      </c>
      <c r="AAH5">
        <v>4</v>
      </c>
      <c r="AAI5">
        <v>24</v>
      </c>
      <c r="AAJ5">
        <v>7</v>
      </c>
      <c r="AAK5">
        <v>40</v>
      </c>
      <c r="AAL5">
        <v>15</v>
      </c>
      <c r="AAM5">
        <v>40</v>
      </c>
      <c r="AAN5">
        <v>15</v>
      </c>
      <c r="AAO5">
        <v>0</v>
      </c>
      <c r="AAP5">
        <v>0</v>
      </c>
      <c r="AAQ5">
        <v>1309.5714285714289</v>
      </c>
      <c r="AAR5">
        <v>20</v>
      </c>
      <c r="AAS5">
        <v>4</v>
      </c>
      <c r="AAT5">
        <v>25</v>
      </c>
      <c r="AAU5">
        <v>7</v>
      </c>
      <c r="AAV5">
        <v>40</v>
      </c>
      <c r="AAW5">
        <v>15</v>
      </c>
      <c r="AAX5">
        <v>40</v>
      </c>
      <c r="AAY5">
        <v>15</v>
      </c>
      <c r="AAZ5">
        <v>0</v>
      </c>
      <c r="ABA5">
        <v>0</v>
      </c>
      <c r="ABB5">
        <v>1309.5714285714289</v>
      </c>
      <c r="ABC5">
        <v>21</v>
      </c>
      <c r="ABD5">
        <v>4</v>
      </c>
      <c r="ABE5">
        <v>23</v>
      </c>
      <c r="ABF5">
        <v>7</v>
      </c>
      <c r="ABG5">
        <v>40</v>
      </c>
      <c r="ABH5">
        <v>15</v>
      </c>
      <c r="ABI5">
        <v>40</v>
      </c>
      <c r="ABJ5">
        <v>15</v>
      </c>
      <c r="ABK5">
        <v>0</v>
      </c>
      <c r="ABL5">
        <v>0</v>
      </c>
      <c r="ABM5">
        <v>1309.5714285714289</v>
      </c>
      <c r="ABN5">
        <v>21</v>
      </c>
      <c r="ABO5">
        <v>4</v>
      </c>
      <c r="ABP5">
        <v>24</v>
      </c>
      <c r="ABQ5">
        <v>7</v>
      </c>
      <c r="ABR5">
        <v>40</v>
      </c>
      <c r="ABS5">
        <v>15</v>
      </c>
      <c r="ABT5">
        <v>40</v>
      </c>
      <c r="ABU5">
        <v>15</v>
      </c>
      <c r="ABV5">
        <v>0</v>
      </c>
      <c r="ABW5">
        <v>0</v>
      </c>
      <c r="ABX5">
        <v>1309.5714285714289</v>
      </c>
      <c r="ABY5">
        <v>21</v>
      </c>
      <c r="ABZ5">
        <v>4</v>
      </c>
      <c r="ACA5">
        <v>25</v>
      </c>
      <c r="ACB5">
        <v>7</v>
      </c>
      <c r="ACC5">
        <v>40</v>
      </c>
      <c r="ACD5">
        <v>15</v>
      </c>
      <c r="ACE5">
        <v>40</v>
      </c>
      <c r="ACF5">
        <v>15</v>
      </c>
      <c r="ACG5">
        <v>0</v>
      </c>
      <c r="ACH5">
        <v>0</v>
      </c>
      <c r="ACI5">
        <v>1309.5714285714289</v>
      </c>
      <c r="ACJ5">
        <v>22</v>
      </c>
      <c r="ACK5">
        <v>4</v>
      </c>
      <c r="ACL5">
        <v>23</v>
      </c>
      <c r="ACM5">
        <v>7</v>
      </c>
      <c r="ACN5">
        <v>40</v>
      </c>
      <c r="ACO5">
        <v>15</v>
      </c>
      <c r="ACP5">
        <v>40</v>
      </c>
      <c r="ACQ5">
        <v>15</v>
      </c>
      <c r="ACR5">
        <v>0</v>
      </c>
      <c r="ACS5">
        <v>0</v>
      </c>
      <c r="ACT5">
        <v>1309.5714285714289</v>
      </c>
      <c r="ACU5">
        <v>22</v>
      </c>
      <c r="ACV5">
        <v>4</v>
      </c>
      <c r="ACW5">
        <v>24</v>
      </c>
      <c r="ACX5">
        <v>7</v>
      </c>
      <c r="ACY5">
        <v>40</v>
      </c>
      <c r="ACZ5">
        <v>15</v>
      </c>
      <c r="ADA5">
        <v>40</v>
      </c>
      <c r="ADB5">
        <v>15</v>
      </c>
      <c r="ADC5">
        <v>0</v>
      </c>
      <c r="ADD5">
        <v>0</v>
      </c>
      <c r="ADE5">
        <v>1309.5714285714289</v>
      </c>
      <c r="ADF5">
        <v>22</v>
      </c>
      <c r="ADG5">
        <v>4</v>
      </c>
      <c r="ADH5">
        <v>25</v>
      </c>
      <c r="ADI5">
        <v>7</v>
      </c>
      <c r="ADJ5">
        <v>40</v>
      </c>
      <c r="ADK5">
        <v>15</v>
      </c>
      <c r="ADL5">
        <v>40</v>
      </c>
      <c r="ADM5">
        <v>15</v>
      </c>
      <c r="ADN5">
        <v>0</v>
      </c>
      <c r="ADO5">
        <v>0</v>
      </c>
      <c r="ADP5">
        <v>333.64285714285722</v>
      </c>
      <c r="ADQ5">
        <v>20</v>
      </c>
      <c r="ADR5">
        <v>3</v>
      </c>
      <c r="ADS5">
        <v>23</v>
      </c>
      <c r="ADT5">
        <v>5</v>
      </c>
      <c r="ADU5">
        <v>10</v>
      </c>
      <c r="ADV5">
        <v>12</v>
      </c>
      <c r="ADW5">
        <v>10</v>
      </c>
      <c r="ADX5">
        <v>11</v>
      </c>
      <c r="ADY5">
        <v>0</v>
      </c>
      <c r="ADZ5">
        <v>0</v>
      </c>
      <c r="AEA5">
        <v>333.64285714285722</v>
      </c>
      <c r="AEB5">
        <v>20</v>
      </c>
      <c r="AEC5">
        <v>3</v>
      </c>
      <c r="AED5">
        <v>24</v>
      </c>
      <c r="AEE5">
        <v>5</v>
      </c>
      <c r="AEF5">
        <v>10</v>
      </c>
      <c r="AEG5">
        <v>12</v>
      </c>
      <c r="AEH5">
        <v>10</v>
      </c>
      <c r="AEI5">
        <v>11</v>
      </c>
      <c r="AEJ5">
        <v>0</v>
      </c>
      <c r="AEK5">
        <v>0</v>
      </c>
      <c r="AEL5">
        <v>333.64285714285722</v>
      </c>
      <c r="AEM5">
        <v>20</v>
      </c>
      <c r="AEN5">
        <v>3</v>
      </c>
      <c r="AEO5">
        <v>25</v>
      </c>
      <c r="AEP5">
        <v>5</v>
      </c>
      <c r="AEQ5">
        <v>10</v>
      </c>
      <c r="AER5">
        <v>12</v>
      </c>
      <c r="AES5">
        <v>10</v>
      </c>
      <c r="AET5">
        <v>11</v>
      </c>
      <c r="AEU5">
        <v>0</v>
      </c>
      <c r="AEV5">
        <v>0</v>
      </c>
      <c r="AEW5">
        <v>333.64285714285722</v>
      </c>
      <c r="AEX5">
        <v>21</v>
      </c>
      <c r="AEY5">
        <v>3</v>
      </c>
      <c r="AEZ5">
        <v>23</v>
      </c>
      <c r="AFA5">
        <v>5</v>
      </c>
      <c r="AFB5">
        <v>10</v>
      </c>
      <c r="AFC5">
        <v>12</v>
      </c>
      <c r="AFD5">
        <v>10</v>
      </c>
      <c r="AFE5">
        <v>11</v>
      </c>
      <c r="AFF5">
        <v>0</v>
      </c>
      <c r="AFG5">
        <v>0</v>
      </c>
      <c r="AFH5">
        <v>333.64285714285722</v>
      </c>
      <c r="AFI5">
        <v>21</v>
      </c>
      <c r="AFJ5">
        <v>3</v>
      </c>
      <c r="AFK5">
        <v>24</v>
      </c>
      <c r="AFL5">
        <v>5</v>
      </c>
      <c r="AFM5">
        <v>10</v>
      </c>
      <c r="AFN5">
        <v>12</v>
      </c>
      <c r="AFO5">
        <v>10</v>
      </c>
      <c r="AFP5">
        <v>11</v>
      </c>
      <c r="AFQ5">
        <v>0</v>
      </c>
      <c r="AFR5">
        <v>0</v>
      </c>
      <c r="AFS5">
        <v>333.64285714285722</v>
      </c>
      <c r="AFT5">
        <v>21</v>
      </c>
      <c r="AFU5">
        <v>3</v>
      </c>
      <c r="AFV5">
        <v>25</v>
      </c>
      <c r="AFW5">
        <v>5</v>
      </c>
      <c r="AFX5">
        <v>10</v>
      </c>
      <c r="AFY5">
        <v>12</v>
      </c>
      <c r="AFZ5">
        <v>10</v>
      </c>
      <c r="AGA5">
        <v>11</v>
      </c>
      <c r="AGB5">
        <v>0</v>
      </c>
      <c r="AGC5">
        <v>0</v>
      </c>
      <c r="AGD5">
        <v>333.64285714285722</v>
      </c>
      <c r="AGE5">
        <v>22</v>
      </c>
      <c r="AGF5">
        <v>3</v>
      </c>
      <c r="AGG5">
        <v>23</v>
      </c>
      <c r="AGH5">
        <v>5</v>
      </c>
      <c r="AGI5">
        <v>10</v>
      </c>
      <c r="AGJ5">
        <v>12</v>
      </c>
      <c r="AGK5">
        <v>10</v>
      </c>
      <c r="AGL5">
        <v>11</v>
      </c>
      <c r="AGM5">
        <v>0</v>
      </c>
      <c r="AGN5">
        <v>0</v>
      </c>
      <c r="AGO5">
        <v>333.64285714285722</v>
      </c>
      <c r="AGP5">
        <v>22</v>
      </c>
      <c r="AGQ5">
        <v>3</v>
      </c>
      <c r="AGR5">
        <v>24</v>
      </c>
      <c r="AGS5">
        <v>5</v>
      </c>
      <c r="AGT5">
        <v>10</v>
      </c>
      <c r="AGU5">
        <v>12</v>
      </c>
      <c r="AGV5">
        <v>10</v>
      </c>
      <c r="AGW5">
        <v>11</v>
      </c>
      <c r="AGX5">
        <v>0</v>
      </c>
      <c r="AGY5">
        <v>0</v>
      </c>
      <c r="AGZ5">
        <v>333.64285714285722</v>
      </c>
      <c r="AHA5">
        <v>22</v>
      </c>
      <c r="AHB5">
        <v>3</v>
      </c>
      <c r="AHC5">
        <v>25</v>
      </c>
      <c r="AHD5">
        <v>5</v>
      </c>
      <c r="AHE5">
        <v>10</v>
      </c>
      <c r="AHF5">
        <v>12</v>
      </c>
      <c r="AHG5">
        <v>10</v>
      </c>
      <c r="AHH5">
        <v>11</v>
      </c>
      <c r="AHI5">
        <v>0</v>
      </c>
      <c r="AHJ5">
        <v>0</v>
      </c>
      <c r="AHK5">
        <v>1309.5714285714289</v>
      </c>
      <c r="AHL5">
        <v>20</v>
      </c>
      <c r="AHM5">
        <v>3</v>
      </c>
      <c r="AHN5">
        <v>23</v>
      </c>
      <c r="AHO5">
        <v>5</v>
      </c>
      <c r="AHP5">
        <v>40</v>
      </c>
      <c r="AHQ5">
        <v>15</v>
      </c>
      <c r="AHR5">
        <v>40</v>
      </c>
      <c r="AHS5">
        <v>15</v>
      </c>
      <c r="AHT5">
        <v>0</v>
      </c>
      <c r="AHU5">
        <v>0</v>
      </c>
      <c r="AHV5">
        <v>1309.5714285714289</v>
      </c>
      <c r="AHW5">
        <v>20</v>
      </c>
      <c r="AHX5">
        <v>3</v>
      </c>
      <c r="AHY5">
        <v>24</v>
      </c>
      <c r="AHZ5">
        <v>5</v>
      </c>
      <c r="AIA5">
        <v>40</v>
      </c>
      <c r="AIB5">
        <v>15</v>
      </c>
      <c r="AIC5">
        <v>40</v>
      </c>
      <c r="AID5">
        <v>15</v>
      </c>
      <c r="AIE5">
        <v>0</v>
      </c>
      <c r="AIF5">
        <v>0</v>
      </c>
      <c r="AIG5">
        <v>1309.5714285714289</v>
      </c>
      <c r="AIH5">
        <v>20</v>
      </c>
      <c r="AII5">
        <v>3</v>
      </c>
      <c r="AIJ5">
        <v>25</v>
      </c>
      <c r="AIK5">
        <v>5</v>
      </c>
      <c r="AIL5">
        <v>40</v>
      </c>
      <c r="AIM5">
        <v>15</v>
      </c>
      <c r="AIN5">
        <v>40</v>
      </c>
      <c r="AIO5">
        <v>15</v>
      </c>
      <c r="AIP5">
        <v>0</v>
      </c>
      <c r="AIQ5">
        <v>0</v>
      </c>
      <c r="AIR5">
        <v>1309.5714285714289</v>
      </c>
      <c r="AIS5">
        <v>21</v>
      </c>
      <c r="AIT5">
        <v>3</v>
      </c>
      <c r="AIU5">
        <v>23</v>
      </c>
      <c r="AIV5">
        <v>5</v>
      </c>
      <c r="AIW5">
        <v>40</v>
      </c>
      <c r="AIX5">
        <v>15</v>
      </c>
      <c r="AIY5">
        <v>40</v>
      </c>
      <c r="AIZ5">
        <v>15</v>
      </c>
      <c r="AJA5">
        <v>0</v>
      </c>
      <c r="AJB5">
        <v>0</v>
      </c>
      <c r="AJC5">
        <v>1309.5714285714289</v>
      </c>
      <c r="AJD5">
        <v>21</v>
      </c>
      <c r="AJE5">
        <v>3</v>
      </c>
      <c r="AJF5">
        <v>24</v>
      </c>
      <c r="AJG5">
        <v>5</v>
      </c>
      <c r="AJH5">
        <v>40</v>
      </c>
      <c r="AJI5">
        <v>15</v>
      </c>
      <c r="AJJ5">
        <v>40</v>
      </c>
      <c r="AJK5">
        <v>15</v>
      </c>
      <c r="AJL5">
        <v>0</v>
      </c>
      <c r="AJM5">
        <v>0</v>
      </c>
      <c r="AJN5">
        <v>1309.5714285714289</v>
      </c>
      <c r="AJO5">
        <v>21</v>
      </c>
      <c r="AJP5">
        <v>3</v>
      </c>
      <c r="AJQ5">
        <v>25</v>
      </c>
      <c r="AJR5">
        <v>5</v>
      </c>
      <c r="AJS5">
        <v>40</v>
      </c>
      <c r="AJT5">
        <v>15</v>
      </c>
      <c r="AJU5">
        <v>40</v>
      </c>
      <c r="AJV5">
        <v>15</v>
      </c>
      <c r="AJW5">
        <v>0</v>
      </c>
      <c r="AJX5">
        <v>0</v>
      </c>
      <c r="AJY5">
        <v>1309.5714285714289</v>
      </c>
      <c r="AJZ5">
        <v>22</v>
      </c>
      <c r="AKA5">
        <v>3</v>
      </c>
      <c r="AKB5">
        <v>23</v>
      </c>
      <c r="AKC5">
        <v>5</v>
      </c>
      <c r="AKD5">
        <v>40</v>
      </c>
      <c r="AKE5">
        <v>15</v>
      </c>
      <c r="AKF5">
        <v>40</v>
      </c>
      <c r="AKG5">
        <v>15</v>
      </c>
      <c r="AKH5">
        <v>0</v>
      </c>
      <c r="AKI5">
        <v>0</v>
      </c>
      <c r="AKJ5">
        <v>1309.5714285714289</v>
      </c>
      <c r="AKK5">
        <v>22</v>
      </c>
      <c r="AKL5">
        <v>3</v>
      </c>
      <c r="AKM5">
        <v>24</v>
      </c>
      <c r="AKN5">
        <v>5</v>
      </c>
      <c r="AKO5">
        <v>40</v>
      </c>
      <c r="AKP5">
        <v>15</v>
      </c>
      <c r="AKQ5">
        <v>40</v>
      </c>
      <c r="AKR5">
        <v>15</v>
      </c>
      <c r="AKS5">
        <v>0</v>
      </c>
      <c r="AKT5">
        <v>0</v>
      </c>
      <c r="AKU5">
        <v>1309.5714285714289</v>
      </c>
      <c r="AKV5">
        <v>22</v>
      </c>
      <c r="AKW5">
        <v>3</v>
      </c>
      <c r="AKX5">
        <v>25</v>
      </c>
      <c r="AKY5">
        <v>5</v>
      </c>
      <c r="AKZ5">
        <v>40</v>
      </c>
      <c r="ALA5">
        <v>15</v>
      </c>
      <c r="ALB5">
        <v>40</v>
      </c>
      <c r="ALC5">
        <v>15</v>
      </c>
      <c r="ALD5">
        <v>0</v>
      </c>
      <c r="ALE5">
        <v>0</v>
      </c>
      <c r="ALF5">
        <v>333.64285714285722</v>
      </c>
      <c r="ALG5">
        <v>20</v>
      </c>
      <c r="ALH5">
        <v>3</v>
      </c>
      <c r="ALI5">
        <v>23</v>
      </c>
      <c r="ALJ5">
        <v>7</v>
      </c>
      <c r="ALK5">
        <v>10</v>
      </c>
      <c r="ALL5">
        <v>12</v>
      </c>
      <c r="ALM5">
        <v>10</v>
      </c>
      <c r="ALN5">
        <v>11</v>
      </c>
      <c r="ALO5">
        <v>0</v>
      </c>
      <c r="ALP5">
        <v>0</v>
      </c>
      <c r="ALQ5">
        <v>333.64285714285722</v>
      </c>
      <c r="ALR5">
        <v>20</v>
      </c>
      <c r="ALS5">
        <v>3</v>
      </c>
      <c r="ALT5">
        <v>24</v>
      </c>
      <c r="ALU5">
        <v>7</v>
      </c>
      <c r="ALV5">
        <v>10</v>
      </c>
      <c r="ALW5">
        <v>12</v>
      </c>
      <c r="ALX5">
        <v>10</v>
      </c>
      <c r="ALY5">
        <v>11</v>
      </c>
      <c r="ALZ5">
        <v>0</v>
      </c>
      <c r="AMA5">
        <v>0</v>
      </c>
      <c r="AMB5">
        <v>333.64285714285722</v>
      </c>
      <c r="AMC5">
        <v>20</v>
      </c>
      <c r="AMD5">
        <v>3</v>
      </c>
      <c r="AME5">
        <v>25</v>
      </c>
      <c r="AMF5">
        <v>7</v>
      </c>
      <c r="AMG5">
        <v>10</v>
      </c>
      <c r="AMH5">
        <v>12</v>
      </c>
      <c r="AMI5">
        <v>10</v>
      </c>
      <c r="AMJ5">
        <v>11</v>
      </c>
      <c r="AMK5">
        <v>0</v>
      </c>
      <c r="AML5">
        <v>0</v>
      </c>
      <c r="AMM5">
        <v>333.64285714285722</v>
      </c>
      <c r="AMN5">
        <v>21</v>
      </c>
      <c r="AMO5">
        <v>3</v>
      </c>
      <c r="AMP5">
        <v>23</v>
      </c>
      <c r="AMQ5">
        <v>7</v>
      </c>
      <c r="AMR5">
        <v>10</v>
      </c>
      <c r="AMS5">
        <v>12</v>
      </c>
      <c r="AMT5">
        <v>10</v>
      </c>
      <c r="AMU5">
        <v>11</v>
      </c>
      <c r="AMV5">
        <v>0</v>
      </c>
      <c r="AMW5">
        <v>0</v>
      </c>
      <c r="AMX5">
        <v>333.64285714285722</v>
      </c>
      <c r="AMY5">
        <v>21</v>
      </c>
      <c r="AMZ5">
        <v>3</v>
      </c>
      <c r="ANA5">
        <v>24</v>
      </c>
      <c r="ANB5">
        <v>7</v>
      </c>
      <c r="ANC5">
        <v>10</v>
      </c>
      <c r="AND5">
        <v>12</v>
      </c>
      <c r="ANE5">
        <v>10</v>
      </c>
      <c r="ANF5">
        <v>11</v>
      </c>
      <c r="ANG5">
        <v>0</v>
      </c>
      <c r="ANH5">
        <v>0</v>
      </c>
      <c r="ANI5">
        <v>333.64285714285722</v>
      </c>
      <c r="ANJ5">
        <v>21</v>
      </c>
      <c r="ANK5">
        <v>3</v>
      </c>
      <c r="ANL5">
        <v>25</v>
      </c>
      <c r="ANM5">
        <v>7</v>
      </c>
      <c r="ANN5">
        <v>10</v>
      </c>
      <c r="ANO5">
        <v>12</v>
      </c>
      <c r="ANP5">
        <v>10</v>
      </c>
      <c r="ANQ5">
        <v>11</v>
      </c>
      <c r="ANR5">
        <v>0</v>
      </c>
      <c r="ANS5">
        <v>0</v>
      </c>
      <c r="ANT5">
        <v>333.64285714285722</v>
      </c>
      <c r="ANU5">
        <v>22</v>
      </c>
      <c r="ANV5">
        <v>3</v>
      </c>
      <c r="ANW5">
        <v>23</v>
      </c>
      <c r="ANX5">
        <v>7</v>
      </c>
      <c r="ANY5">
        <v>10</v>
      </c>
      <c r="ANZ5">
        <v>12</v>
      </c>
      <c r="AOA5">
        <v>10</v>
      </c>
      <c r="AOB5">
        <v>11</v>
      </c>
      <c r="AOC5">
        <v>0</v>
      </c>
      <c r="AOD5">
        <v>0</v>
      </c>
      <c r="AOE5">
        <v>333.64285714285722</v>
      </c>
      <c r="AOF5">
        <v>22</v>
      </c>
      <c r="AOG5">
        <v>3</v>
      </c>
      <c r="AOH5">
        <v>24</v>
      </c>
      <c r="AOI5">
        <v>7</v>
      </c>
      <c r="AOJ5">
        <v>10</v>
      </c>
      <c r="AOK5">
        <v>12</v>
      </c>
      <c r="AOL5">
        <v>10</v>
      </c>
      <c r="AOM5">
        <v>11</v>
      </c>
      <c r="AON5">
        <v>0</v>
      </c>
      <c r="AOO5">
        <v>0</v>
      </c>
      <c r="AOP5">
        <v>333.64285714285722</v>
      </c>
      <c r="AOQ5">
        <v>22</v>
      </c>
      <c r="AOR5">
        <v>3</v>
      </c>
      <c r="AOS5">
        <v>25</v>
      </c>
      <c r="AOT5">
        <v>7</v>
      </c>
      <c r="AOU5">
        <v>10</v>
      </c>
      <c r="AOV5">
        <v>12</v>
      </c>
      <c r="AOW5">
        <v>10</v>
      </c>
      <c r="AOX5">
        <v>11</v>
      </c>
      <c r="AOY5">
        <v>0</v>
      </c>
      <c r="AOZ5">
        <v>0</v>
      </c>
      <c r="APA5">
        <v>1309.5714285714289</v>
      </c>
      <c r="APB5">
        <v>20</v>
      </c>
      <c r="APC5">
        <v>3</v>
      </c>
      <c r="APD5">
        <v>23</v>
      </c>
      <c r="APE5">
        <v>7</v>
      </c>
      <c r="APF5">
        <v>40</v>
      </c>
      <c r="APG5">
        <v>15</v>
      </c>
      <c r="APH5">
        <v>40</v>
      </c>
      <c r="API5">
        <v>15</v>
      </c>
      <c r="APJ5">
        <v>0</v>
      </c>
      <c r="APK5">
        <v>0</v>
      </c>
      <c r="APL5">
        <v>1309.5714285714289</v>
      </c>
      <c r="APM5">
        <v>20</v>
      </c>
      <c r="APN5">
        <v>3</v>
      </c>
      <c r="APO5">
        <v>24</v>
      </c>
      <c r="APP5">
        <v>7</v>
      </c>
      <c r="APQ5">
        <v>40</v>
      </c>
      <c r="APR5">
        <v>15</v>
      </c>
      <c r="APS5">
        <v>40</v>
      </c>
      <c r="APT5">
        <v>15</v>
      </c>
      <c r="APU5">
        <v>0</v>
      </c>
      <c r="APV5">
        <v>0</v>
      </c>
      <c r="APW5">
        <v>1309.5714285714289</v>
      </c>
      <c r="APX5">
        <v>20</v>
      </c>
      <c r="APY5">
        <v>3</v>
      </c>
      <c r="APZ5">
        <v>25</v>
      </c>
      <c r="AQA5">
        <v>7</v>
      </c>
      <c r="AQB5">
        <v>40</v>
      </c>
      <c r="AQC5">
        <v>15</v>
      </c>
      <c r="AQD5">
        <v>40</v>
      </c>
      <c r="AQE5">
        <v>15</v>
      </c>
      <c r="AQF5">
        <v>0</v>
      </c>
      <c r="AQG5">
        <v>0</v>
      </c>
      <c r="AQH5">
        <v>1309.5714285714289</v>
      </c>
      <c r="AQI5">
        <v>21</v>
      </c>
      <c r="AQJ5">
        <v>3</v>
      </c>
      <c r="AQK5">
        <v>23</v>
      </c>
      <c r="AQL5">
        <v>7</v>
      </c>
      <c r="AQM5">
        <v>40</v>
      </c>
      <c r="AQN5">
        <v>15</v>
      </c>
      <c r="AQO5">
        <v>40</v>
      </c>
      <c r="AQP5">
        <v>15</v>
      </c>
      <c r="AQQ5">
        <v>0</v>
      </c>
      <c r="AQR5">
        <v>0</v>
      </c>
      <c r="AQS5">
        <v>1309.5714285714289</v>
      </c>
      <c r="AQT5">
        <v>21</v>
      </c>
      <c r="AQU5">
        <v>3</v>
      </c>
      <c r="AQV5">
        <v>24</v>
      </c>
      <c r="AQW5">
        <v>7</v>
      </c>
      <c r="AQX5">
        <v>40</v>
      </c>
      <c r="AQY5">
        <v>15</v>
      </c>
      <c r="AQZ5">
        <v>40</v>
      </c>
      <c r="ARA5">
        <v>15</v>
      </c>
      <c r="ARB5">
        <v>0</v>
      </c>
      <c r="ARC5">
        <v>0</v>
      </c>
      <c r="ARD5">
        <v>1309.5714285714289</v>
      </c>
      <c r="ARE5">
        <v>21</v>
      </c>
      <c r="ARF5">
        <v>3</v>
      </c>
      <c r="ARG5">
        <v>25</v>
      </c>
      <c r="ARH5">
        <v>7</v>
      </c>
      <c r="ARI5">
        <v>40</v>
      </c>
      <c r="ARJ5">
        <v>15</v>
      </c>
      <c r="ARK5">
        <v>40</v>
      </c>
      <c r="ARL5">
        <v>15</v>
      </c>
      <c r="ARM5">
        <v>0</v>
      </c>
      <c r="ARN5">
        <v>0</v>
      </c>
      <c r="ARO5">
        <v>1309.5714285714289</v>
      </c>
      <c r="ARP5">
        <v>22</v>
      </c>
      <c r="ARQ5">
        <v>3</v>
      </c>
      <c r="ARR5">
        <v>23</v>
      </c>
      <c r="ARS5">
        <v>7</v>
      </c>
      <c r="ART5">
        <v>40</v>
      </c>
      <c r="ARU5">
        <v>15</v>
      </c>
      <c r="ARV5">
        <v>40</v>
      </c>
      <c r="ARW5">
        <v>15</v>
      </c>
      <c r="ARX5">
        <v>0</v>
      </c>
      <c r="ARY5">
        <v>0</v>
      </c>
      <c r="ARZ5">
        <v>1309.5714285714289</v>
      </c>
      <c r="ASA5">
        <v>22</v>
      </c>
      <c r="ASB5">
        <v>3</v>
      </c>
      <c r="ASC5">
        <v>24</v>
      </c>
      <c r="ASD5">
        <v>7</v>
      </c>
      <c r="ASE5">
        <v>40</v>
      </c>
      <c r="ASF5">
        <v>15</v>
      </c>
      <c r="ASG5">
        <v>40</v>
      </c>
      <c r="ASH5">
        <v>15</v>
      </c>
      <c r="ASI5">
        <v>0</v>
      </c>
      <c r="ASJ5">
        <v>0</v>
      </c>
      <c r="ASK5">
        <v>1309.5714285714289</v>
      </c>
      <c r="ASL5">
        <v>22</v>
      </c>
      <c r="ASM5">
        <v>3</v>
      </c>
      <c r="ASN5">
        <v>25</v>
      </c>
      <c r="ASO5">
        <v>7</v>
      </c>
      <c r="ASP5">
        <v>40</v>
      </c>
      <c r="ASQ5">
        <v>15</v>
      </c>
      <c r="ASR5">
        <v>40</v>
      </c>
      <c r="ASS5">
        <v>15</v>
      </c>
      <c r="AST5">
        <v>0</v>
      </c>
      <c r="ASU5">
        <v>0</v>
      </c>
      <c r="ASV5">
        <v>333.64285714285722</v>
      </c>
      <c r="ASW5">
        <v>20</v>
      </c>
      <c r="ASX5">
        <v>4</v>
      </c>
      <c r="ASY5">
        <v>23</v>
      </c>
      <c r="ASZ5">
        <v>5</v>
      </c>
      <c r="ATA5">
        <v>10</v>
      </c>
      <c r="ATB5">
        <v>12</v>
      </c>
      <c r="ATC5">
        <v>10</v>
      </c>
      <c r="ATD5">
        <v>11</v>
      </c>
      <c r="ATE5">
        <v>0</v>
      </c>
      <c r="ATF5">
        <v>0</v>
      </c>
      <c r="ATG5">
        <v>333.64285714285722</v>
      </c>
      <c r="ATH5">
        <v>20</v>
      </c>
      <c r="ATI5">
        <v>4</v>
      </c>
      <c r="ATJ5">
        <v>24</v>
      </c>
      <c r="ATK5">
        <v>5</v>
      </c>
      <c r="ATL5">
        <v>10</v>
      </c>
      <c r="ATM5">
        <v>12</v>
      </c>
      <c r="ATN5">
        <v>10</v>
      </c>
      <c r="ATO5">
        <v>11</v>
      </c>
      <c r="ATP5">
        <v>0</v>
      </c>
      <c r="ATQ5">
        <v>0</v>
      </c>
      <c r="ATR5">
        <v>333.64285714285722</v>
      </c>
      <c r="ATS5">
        <v>20</v>
      </c>
      <c r="ATT5">
        <v>4</v>
      </c>
      <c r="ATU5">
        <v>25</v>
      </c>
      <c r="ATV5">
        <v>5</v>
      </c>
      <c r="ATW5">
        <v>10</v>
      </c>
      <c r="ATX5">
        <v>12</v>
      </c>
      <c r="ATY5">
        <v>10</v>
      </c>
      <c r="ATZ5">
        <v>11</v>
      </c>
      <c r="AUA5">
        <v>0</v>
      </c>
      <c r="AUB5">
        <v>0</v>
      </c>
      <c r="AUC5">
        <v>333.64285714285722</v>
      </c>
      <c r="AUD5">
        <v>21</v>
      </c>
      <c r="AUE5">
        <v>4</v>
      </c>
      <c r="AUF5">
        <v>23</v>
      </c>
      <c r="AUG5">
        <v>5</v>
      </c>
      <c r="AUH5">
        <v>10</v>
      </c>
      <c r="AUI5">
        <v>12</v>
      </c>
      <c r="AUJ5">
        <v>10</v>
      </c>
      <c r="AUK5">
        <v>11</v>
      </c>
      <c r="AUL5">
        <v>0</v>
      </c>
      <c r="AUM5">
        <v>0</v>
      </c>
      <c r="AUN5">
        <v>333.64285714285722</v>
      </c>
      <c r="AUO5">
        <v>21</v>
      </c>
      <c r="AUP5">
        <v>4</v>
      </c>
      <c r="AUQ5">
        <v>24</v>
      </c>
      <c r="AUR5">
        <v>5</v>
      </c>
      <c r="AUS5">
        <v>10</v>
      </c>
      <c r="AUT5">
        <v>12</v>
      </c>
      <c r="AUU5">
        <v>10</v>
      </c>
      <c r="AUV5">
        <v>11</v>
      </c>
      <c r="AUW5">
        <v>0</v>
      </c>
      <c r="AUX5">
        <v>0</v>
      </c>
      <c r="AUY5">
        <v>333.64285714285722</v>
      </c>
      <c r="AUZ5">
        <v>21</v>
      </c>
      <c r="AVA5">
        <v>4</v>
      </c>
      <c r="AVB5">
        <v>25</v>
      </c>
      <c r="AVC5">
        <v>5</v>
      </c>
      <c r="AVD5">
        <v>10</v>
      </c>
      <c r="AVE5">
        <v>12</v>
      </c>
      <c r="AVF5">
        <v>10</v>
      </c>
      <c r="AVG5">
        <v>11</v>
      </c>
      <c r="AVH5">
        <v>0</v>
      </c>
      <c r="AVI5">
        <v>0</v>
      </c>
      <c r="AVJ5">
        <v>333.64285714285722</v>
      </c>
      <c r="AVK5">
        <v>22</v>
      </c>
      <c r="AVL5">
        <v>4</v>
      </c>
      <c r="AVM5">
        <v>23</v>
      </c>
      <c r="AVN5">
        <v>5</v>
      </c>
      <c r="AVO5">
        <v>10</v>
      </c>
      <c r="AVP5">
        <v>12</v>
      </c>
      <c r="AVQ5">
        <v>10</v>
      </c>
      <c r="AVR5">
        <v>11</v>
      </c>
      <c r="AVS5">
        <v>0</v>
      </c>
      <c r="AVT5">
        <v>0</v>
      </c>
      <c r="AVU5">
        <v>333.64285714285722</v>
      </c>
      <c r="AVV5">
        <v>22</v>
      </c>
      <c r="AVW5">
        <v>4</v>
      </c>
      <c r="AVX5">
        <v>24</v>
      </c>
      <c r="AVY5">
        <v>5</v>
      </c>
      <c r="AVZ5">
        <v>10</v>
      </c>
      <c r="AWA5">
        <v>12</v>
      </c>
      <c r="AWB5">
        <v>10</v>
      </c>
      <c r="AWC5">
        <v>11</v>
      </c>
      <c r="AWD5">
        <v>0</v>
      </c>
      <c r="AWE5">
        <v>0</v>
      </c>
      <c r="AWF5">
        <v>333.64285714285722</v>
      </c>
      <c r="AWG5">
        <v>22</v>
      </c>
      <c r="AWH5">
        <v>4</v>
      </c>
      <c r="AWI5">
        <v>25</v>
      </c>
      <c r="AWJ5">
        <v>5</v>
      </c>
      <c r="AWK5">
        <v>10</v>
      </c>
      <c r="AWL5">
        <v>12</v>
      </c>
      <c r="AWM5">
        <v>10</v>
      </c>
      <c r="AWN5">
        <v>11</v>
      </c>
      <c r="AWO5">
        <v>0</v>
      </c>
      <c r="AWP5">
        <v>0</v>
      </c>
      <c r="AWQ5">
        <v>1309.5714285714289</v>
      </c>
      <c r="AWR5">
        <v>20</v>
      </c>
      <c r="AWS5">
        <v>4</v>
      </c>
      <c r="AWT5">
        <v>23</v>
      </c>
      <c r="AWU5">
        <v>5</v>
      </c>
      <c r="AWV5">
        <v>40</v>
      </c>
      <c r="AWW5">
        <v>15</v>
      </c>
      <c r="AWX5">
        <v>40</v>
      </c>
      <c r="AWY5">
        <v>15</v>
      </c>
      <c r="AWZ5">
        <v>0</v>
      </c>
      <c r="AXA5">
        <v>0</v>
      </c>
      <c r="AXB5">
        <v>1309.5714285714289</v>
      </c>
      <c r="AXC5">
        <v>20</v>
      </c>
      <c r="AXD5">
        <v>4</v>
      </c>
      <c r="AXE5">
        <v>24</v>
      </c>
      <c r="AXF5">
        <v>5</v>
      </c>
      <c r="AXG5">
        <v>40</v>
      </c>
      <c r="AXH5">
        <v>15</v>
      </c>
      <c r="AXI5">
        <v>40</v>
      </c>
      <c r="AXJ5">
        <v>15</v>
      </c>
      <c r="AXK5">
        <v>0</v>
      </c>
      <c r="AXL5">
        <v>0</v>
      </c>
      <c r="AXM5">
        <v>1309.5714285714289</v>
      </c>
      <c r="AXN5">
        <v>20</v>
      </c>
      <c r="AXO5">
        <v>4</v>
      </c>
      <c r="AXP5">
        <v>25</v>
      </c>
      <c r="AXQ5">
        <v>5</v>
      </c>
      <c r="AXR5">
        <v>40</v>
      </c>
      <c r="AXS5">
        <v>15</v>
      </c>
      <c r="AXT5">
        <v>40</v>
      </c>
      <c r="AXU5">
        <v>15</v>
      </c>
      <c r="AXV5">
        <v>0</v>
      </c>
      <c r="AXW5">
        <v>0</v>
      </c>
      <c r="AXX5">
        <v>1309.5714285714289</v>
      </c>
      <c r="AXY5">
        <v>21</v>
      </c>
      <c r="AXZ5">
        <v>4</v>
      </c>
      <c r="AYA5">
        <v>23</v>
      </c>
      <c r="AYB5">
        <v>5</v>
      </c>
      <c r="AYC5">
        <v>40</v>
      </c>
      <c r="AYD5">
        <v>15</v>
      </c>
      <c r="AYE5">
        <v>40</v>
      </c>
      <c r="AYF5">
        <v>15</v>
      </c>
      <c r="AYG5">
        <v>0</v>
      </c>
      <c r="AYH5">
        <v>0</v>
      </c>
      <c r="AYI5">
        <v>1309.5714285714289</v>
      </c>
      <c r="AYJ5">
        <v>21</v>
      </c>
      <c r="AYK5">
        <v>4</v>
      </c>
      <c r="AYL5">
        <v>24</v>
      </c>
      <c r="AYM5">
        <v>5</v>
      </c>
      <c r="AYN5">
        <v>40</v>
      </c>
      <c r="AYO5">
        <v>15</v>
      </c>
      <c r="AYP5">
        <v>40</v>
      </c>
      <c r="AYQ5">
        <v>15</v>
      </c>
      <c r="AYR5">
        <v>0</v>
      </c>
      <c r="AYS5">
        <v>0</v>
      </c>
      <c r="AYT5">
        <v>1309.5714285714289</v>
      </c>
      <c r="AYU5">
        <v>21</v>
      </c>
      <c r="AYV5">
        <v>4</v>
      </c>
      <c r="AYW5">
        <v>25</v>
      </c>
      <c r="AYX5">
        <v>5</v>
      </c>
      <c r="AYY5">
        <v>40</v>
      </c>
      <c r="AYZ5">
        <v>15</v>
      </c>
      <c r="AZA5">
        <v>40</v>
      </c>
      <c r="AZB5">
        <v>15</v>
      </c>
      <c r="AZC5">
        <v>0</v>
      </c>
      <c r="AZD5">
        <v>0</v>
      </c>
      <c r="AZE5">
        <v>1309.5714285714289</v>
      </c>
      <c r="AZF5">
        <v>22</v>
      </c>
      <c r="AZG5">
        <v>4</v>
      </c>
      <c r="AZH5">
        <v>23</v>
      </c>
      <c r="AZI5">
        <v>5</v>
      </c>
      <c r="AZJ5">
        <v>40</v>
      </c>
      <c r="AZK5">
        <v>15</v>
      </c>
      <c r="AZL5">
        <v>40</v>
      </c>
      <c r="AZM5">
        <v>15</v>
      </c>
      <c r="AZN5">
        <v>0</v>
      </c>
      <c r="AZO5">
        <v>0</v>
      </c>
      <c r="AZP5">
        <v>1309.5714285714289</v>
      </c>
      <c r="AZQ5">
        <v>22</v>
      </c>
      <c r="AZR5">
        <v>4</v>
      </c>
      <c r="AZS5">
        <v>24</v>
      </c>
      <c r="AZT5">
        <v>5</v>
      </c>
      <c r="AZU5">
        <v>40</v>
      </c>
      <c r="AZV5">
        <v>15</v>
      </c>
      <c r="AZW5">
        <v>40</v>
      </c>
      <c r="AZX5">
        <v>15</v>
      </c>
      <c r="AZY5">
        <v>0</v>
      </c>
      <c r="AZZ5">
        <v>0</v>
      </c>
      <c r="BAA5">
        <v>1309.5714285714289</v>
      </c>
      <c r="BAB5">
        <v>22</v>
      </c>
      <c r="BAC5">
        <v>4</v>
      </c>
      <c r="BAD5">
        <v>25</v>
      </c>
      <c r="BAE5">
        <v>5</v>
      </c>
      <c r="BAF5">
        <v>40</v>
      </c>
      <c r="BAG5">
        <v>15</v>
      </c>
      <c r="BAH5">
        <v>40</v>
      </c>
      <c r="BAI5">
        <v>15</v>
      </c>
      <c r="BAJ5">
        <v>0</v>
      </c>
      <c r="BAK5">
        <v>0</v>
      </c>
      <c r="BAL5">
        <v>333.64285714285722</v>
      </c>
      <c r="BAM5">
        <v>20</v>
      </c>
      <c r="BAN5">
        <v>4</v>
      </c>
      <c r="BAO5">
        <v>23</v>
      </c>
      <c r="BAP5">
        <v>7</v>
      </c>
      <c r="BAQ5">
        <v>10</v>
      </c>
      <c r="BAR5">
        <v>12</v>
      </c>
      <c r="BAS5">
        <v>10</v>
      </c>
      <c r="BAT5">
        <v>11</v>
      </c>
      <c r="BAU5">
        <v>0</v>
      </c>
      <c r="BAV5">
        <v>0</v>
      </c>
      <c r="BAW5">
        <v>333.64285714285722</v>
      </c>
      <c r="BAX5">
        <v>20</v>
      </c>
      <c r="BAY5">
        <v>4</v>
      </c>
      <c r="BAZ5">
        <v>24</v>
      </c>
      <c r="BBA5">
        <v>7</v>
      </c>
      <c r="BBB5">
        <v>10</v>
      </c>
      <c r="BBC5">
        <v>12</v>
      </c>
      <c r="BBD5">
        <v>10</v>
      </c>
      <c r="BBE5">
        <v>11</v>
      </c>
      <c r="BBF5">
        <v>0</v>
      </c>
      <c r="BBG5">
        <v>0</v>
      </c>
      <c r="BBH5">
        <v>333.64285714285722</v>
      </c>
      <c r="BBI5">
        <v>20</v>
      </c>
      <c r="BBJ5">
        <v>4</v>
      </c>
      <c r="BBK5">
        <v>25</v>
      </c>
      <c r="BBL5">
        <v>7</v>
      </c>
      <c r="BBM5">
        <v>10</v>
      </c>
      <c r="BBN5">
        <v>12</v>
      </c>
      <c r="BBO5">
        <v>10</v>
      </c>
      <c r="BBP5">
        <v>11</v>
      </c>
      <c r="BBQ5">
        <v>0</v>
      </c>
      <c r="BBR5">
        <v>0</v>
      </c>
      <c r="BBS5">
        <v>333.64285714285722</v>
      </c>
      <c r="BBT5">
        <v>21</v>
      </c>
      <c r="BBU5">
        <v>4</v>
      </c>
      <c r="BBV5">
        <v>23</v>
      </c>
      <c r="BBW5">
        <v>7</v>
      </c>
      <c r="BBX5">
        <v>10</v>
      </c>
      <c r="BBY5">
        <v>12</v>
      </c>
      <c r="BBZ5">
        <v>10</v>
      </c>
      <c r="BCA5">
        <v>11</v>
      </c>
      <c r="BCB5">
        <v>0</v>
      </c>
      <c r="BCC5">
        <v>0</v>
      </c>
      <c r="BCD5">
        <v>333.64285714285722</v>
      </c>
      <c r="BCE5">
        <v>21</v>
      </c>
      <c r="BCF5">
        <v>4</v>
      </c>
      <c r="BCG5">
        <v>24</v>
      </c>
      <c r="BCH5">
        <v>7</v>
      </c>
      <c r="BCI5">
        <v>10</v>
      </c>
      <c r="BCJ5">
        <v>12</v>
      </c>
      <c r="BCK5">
        <v>10</v>
      </c>
      <c r="BCL5">
        <v>11</v>
      </c>
      <c r="BCM5">
        <v>0</v>
      </c>
      <c r="BCN5">
        <v>0</v>
      </c>
      <c r="BCO5">
        <v>333.64285714285722</v>
      </c>
      <c r="BCP5">
        <v>21</v>
      </c>
      <c r="BCQ5">
        <v>4</v>
      </c>
      <c r="BCR5">
        <v>25</v>
      </c>
      <c r="BCS5">
        <v>7</v>
      </c>
      <c r="BCT5">
        <v>10</v>
      </c>
      <c r="BCU5">
        <v>12</v>
      </c>
      <c r="BCV5">
        <v>10</v>
      </c>
      <c r="BCW5">
        <v>11</v>
      </c>
      <c r="BCX5">
        <v>0</v>
      </c>
      <c r="BCY5">
        <v>0</v>
      </c>
      <c r="BCZ5">
        <v>333.64285714285722</v>
      </c>
      <c r="BDA5">
        <v>22</v>
      </c>
      <c r="BDB5">
        <v>4</v>
      </c>
      <c r="BDC5">
        <v>23</v>
      </c>
      <c r="BDD5">
        <v>7</v>
      </c>
      <c r="BDE5">
        <v>10</v>
      </c>
      <c r="BDF5">
        <v>12</v>
      </c>
      <c r="BDG5">
        <v>10</v>
      </c>
      <c r="BDH5">
        <v>11</v>
      </c>
      <c r="BDI5">
        <v>0</v>
      </c>
      <c r="BDJ5">
        <v>0</v>
      </c>
      <c r="BDK5">
        <v>333.64285714285722</v>
      </c>
      <c r="BDL5">
        <v>22</v>
      </c>
      <c r="BDM5">
        <v>4</v>
      </c>
      <c r="BDN5">
        <v>24</v>
      </c>
      <c r="BDO5">
        <v>7</v>
      </c>
      <c r="BDP5">
        <v>10</v>
      </c>
      <c r="BDQ5">
        <v>12</v>
      </c>
      <c r="BDR5">
        <v>10</v>
      </c>
      <c r="BDS5">
        <v>11</v>
      </c>
      <c r="BDT5">
        <v>0</v>
      </c>
      <c r="BDU5">
        <v>0</v>
      </c>
      <c r="BDV5">
        <v>333.64285714285722</v>
      </c>
      <c r="BDW5">
        <v>22</v>
      </c>
      <c r="BDX5">
        <v>4</v>
      </c>
      <c r="BDY5">
        <v>25</v>
      </c>
      <c r="BDZ5">
        <v>7</v>
      </c>
      <c r="BEA5">
        <v>10</v>
      </c>
      <c r="BEB5">
        <v>12</v>
      </c>
      <c r="BEC5">
        <v>10</v>
      </c>
      <c r="BED5">
        <v>11</v>
      </c>
      <c r="BEE5">
        <v>0</v>
      </c>
      <c r="BEF5">
        <v>0</v>
      </c>
      <c r="BEG5">
        <v>1309.5714285714289</v>
      </c>
      <c r="BEH5">
        <v>20</v>
      </c>
      <c r="BEI5">
        <v>4</v>
      </c>
      <c r="BEJ5">
        <v>23</v>
      </c>
      <c r="BEK5">
        <v>7</v>
      </c>
      <c r="BEL5">
        <v>40</v>
      </c>
      <c r="BEM5">
        <v>15</v>
      </c>
      <c r="BEN5">
        <v>40</v>
      </c>
      <c r="BEO5">
        <v>15</v>
      </c>
      <c r="BEP5">
        <v>0</v>
      </c>
      <c r="BEQ5">
        <v>0</v>
      </c>
      <c r="BER5">
        <v>1309.5714285714289</v>
      </c>
      <c r="BES5">
        <v>20</v>
      </c>
      <c r="BET5">
        <v>4</v>
      </c>
      <c r="BEU5">
        <v>24</v>
      </c>
      <c r="BEV5">
        <v>7</v>
      </c>
      <c r="BEW5">
        <v>40</v>
      </c>
      <c r="BEX5">
        <v>15</v>
      </c>
      <c r="BEY5">
        <v>40</v>
      </c>
      <c r="BEZ5">
        <v>15</v>
      </c>
      <c r="BFA5">
        <v>0</v>
      </c>
      <c r="BFB5">
        <v>0</v>
      </c>
      <c r="BFC5">
        <v>1309.5714285714289</v>
      </c>
      <c r="BFD5">
        <v>20</v>
      </c>
      <c r="BFE5">
        <v>4</v>
      </c>
      <c r="BFF5">
        <v>25</v>
      </c>
      <c r="BFG5">
        <v>7</v>
      </c>
      <c r="BFH5">
        <v>40</v>
      </c>
      <c r="BFI5">
        <v>15</v>
      </c>
      <c r="BFJ5">
        <v>40</v>
      </c>
      <c r="BFK5">
        <v>15</v>
      </c>
      <c r="BFL5">
        <v>0</v>
      </c>
      <c r="BFM5">
        <v>0</v>
      </c>
      <c r="BFN5">
        <v>1309.5714285714289</v>
      </c>
      <c r="BFO5">
        <v>21</v>
      </c>
      <c r="BFP5">
        <v>4</v>
      </c>
      <c r="BFQ5">
        <v>23</v>
      </c>
      <c r="BFR5">
        <v>7</v>
      </c>
      <c r="BFS5">
        <v>40</v>
      </c>
      <c r="BFT5">
        <v>15</v>
      </c>
      <c r="BFU5">
        <v>40</v>
      </c>
      <c r="BFV5">
        <v>15</v>
      </c>
      <c r="BFW5">
        <v>0</v>
      </c>
      <c r="BFX5">
        <v>0</v>
      </c>
      <c r="BFY5">
        <v>1309.5714285714289</v>
      </c>
      <c r="BFZ5">
        <v>21</v>
      </c>
      <c r="BGA5">
        <v>4</v>
      </c>
      <c r="BGB5">
        <v>24</v>
      </c>
      <c r="BGC5">
        <v>7</v>
      </c>
      <c r="BGD5">
        <v>40</v>
      </c>
      <c r="BGE5">
        <v>15</v>
      </c>
      <c r="BGF5">
        <v>40</v>
      </c>
      <c r="BGG5">
        <v>15</v>
      </c>
      <c r="BGH5">
        <v>0</v>
      </c>
      <c r="BGI5">
        <v>0</v>
      </c>
      <c r="BGJ5">
        <v>1309.5714285714289</v>
      </c>
      <c r="BGK5">
        <v>21</v>
      </c>
      <c r="BGL5">
        <v>4</v>
      </c>
      <c r="BGM5">
        <v>25</v>
      </c>
      <c r="BGN5">
        <v>7</v>
      </c>
      <c r="BGO5">
        <v>40</v>
      </c>
      <c r="BGP5">
        <v>15</v>
      </c>
      <c r="BGQ5">
        <v>40</v>
      </c>
      <c r="BGR5">
        <v>15</v>
      </c>
      <c r="BGS5">
        <v>0</v>
      </c>
      <c r="BGT5">
        <v>0</v>
      </c>
      <c r="BGU5">
        <v>1309.5714285714289</v>
      </c>
      <c r="BGV5">
        <v>22</v>
      </c>
      <c r="BGW5">
        <v>4</v>
      </c>
      <c r="BGX5">
        <v>23</v>
      </c>
      <c r="BGY5">
        <v>7</v>
      </c>
      <c r="BGZ5">
        <v>40</v>
      </c>
      <c r="BHA5">
        <v>15</v>
      </c>
      <c r="BHB5">
        <v>40</v>
      </c>
      <c r="BHC5">
        <v>15</v>
      </c>
      <c r="BHD5">
        <v>0</v>
      </c>
      <c r="BHE5">
        <v>0</v>
      </c>
      <c r="BHF5">
        <v>1309.5714285714289</v>
      </c>
      <c r="BHG5">
        <v>22</v>
      </c>
      <c r="BHH5">
        <v>4</v>
      </c>
      <c r="BHI5">
        <v>24</v>
      </c>
      <c r="BHJ5">
        <v>7</v>
      </c>
      <c r="BHK5">
        <v>40</v>
      </c>
      <c r="BHL5">
        <v>15</v>
      </c>
      <c r="BHM5">
        <v>40</v>
      </c>
      <c r="BHN5">
        <v>15</v>
      </c>
      <c r="BHO5">
        <v>0</v>
      </c>
      <c r="BHP5">
        <v>0</v>
      </c>
      <c r="BHQ5">
        <v>1309.5714285714289</v>
      </c>
      <c r="BHR5">
        <v>22</v>
      </c>
      <c r="BHS5">
        <v>4</v>
      </c>
      <c r="BHT5">
        <v>25</v>
      </c>
      <c r="BHU5">
        <v>7</v>
      </c>
      <c r="BHV5">
        <v>40</v>
      </c>
      <c r="BHW5">
        <v>15</v>
      </c>
      <c r="BHX5">
        <v>40</v>
      </c>
      <c r="BHY5">
        <v>15</v>
      </c>
    </row>
    <row r="6" spans="1:1585" x14ac:dyDescent="0.3">
      <c r="A6" t="s">
        <v>198</v>
      </c>
      <c r="B6">
        <v>0</v>
      </c>
      <c r="C6">
        <v>0</v>
      </c>
      <c r="D6">
        <v>48.614428283819613</v>
      </c>
      <c r="E6">
        <v>0</v>
      </c>
      <c r="F6">
        <v>0</v>
      </c>
      <c r="G6">
        <v>0</v>
      </c>
      <c r="H6">
        <v>0</v>
      </c>
      <c r="I6" s="7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48.614428283819613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48.614428283819613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48.614428283819613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48.614428283819613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48.614428283819613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48.614428283819613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48.614428283819613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48.614428283819613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194.4577131352784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194.4577131352784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194.4577131352784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194.4577131352784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194.4577131352784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194.4577131352784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194.4577131352784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194.4577131352784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194.4577131352784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48.614428283819613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48.614428283819613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48.614428283819613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48.614428283819613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48.614428283819613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48.614428283819613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48.614428283819613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48.614428283819613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48.614428283819613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194.4577131352784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194.4577131352784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194.4577131352784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194.4577131352784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194.4577131352784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194.4577131352784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194.4577131352784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194.4577131352784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194.4577131352784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48.614428283819613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48.614428283819613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48.614428283819613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48.614428283819613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48.614428283819613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48.614428283819613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48.614428283819613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48.614428283819613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48.614428283819613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194.4577131352784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194.4577131352784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194.4577131352784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194.4577131352784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194.4577131352784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194.4577131352784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194.4577131352784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194.4577131352784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194.4577131352784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48.614428283819613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48.614428283819613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48.614428283819613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48.614428283819613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48.614428283819613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48.614428283819613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48.614428283819613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48.614428283819613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48.614428283819613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194.4577131352784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194.4577131352784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194.4577131352784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194.4577131352784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194.4577131352784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194.4577131352784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194.4577131352784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194.4577131352784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194.4577131352784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48.614428283819613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48.614428283819613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48.614428283819613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48.614428283819613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48.614428283819613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48.614428283819613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48.614428283819613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48.614428283819613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48.614428283819613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194.4577131352784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194.4577131352784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194.4577131352784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194.4577131352784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194.4577131352784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194.4577131352784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194.4577131352784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194.4577131352784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194.4577131352784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48.614428283819613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48.614428283819613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48.614428283819613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48.614428283819613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48.614428283819613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48.614428283819613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48.614428283819613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48.614428283819613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48.614428283819613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194.4577131352784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194.4577131352784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194.4577131352784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194.4577131352784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194.4577131352784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194.4577131352784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194.4577131352784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194.4577131352784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194.4577131352784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48.614428283819613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48.614428283819613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48.614428283819613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48.614428283819613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48.614428283819613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48.614428283819613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48.614428283819613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48.614428283819613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48.614428283819613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194.4577131352784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194.4577131352784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194.4577131352784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194.4577131352784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194.4577131352784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194.4577131352784</v>
      </c>
      <c r="AYU6">
        <v>0</v>
      </c>
      <c r="AYV6">
        <v>0</v>
      </c>
      <c r="AYW6">
        <v>0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194.4577131352784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194.4577131352784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194.4577131352784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48.614428283819613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48.614428283819613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48.614428283819613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48.614428283819613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48.614428283819613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48.614428283819613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48.614428283819613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48.614428283819613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48.614428283819613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194.4577131352784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194.4577131352784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194.4577131352784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194.4577131352784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194.4577131352784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194.4577131352784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194.4577131352784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194.4577131352784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194.4577131352784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</row>
    <row r="7" spans="1:1585" x14ac:dyDescent="0.3">
      <c r="A7" t="s">
        <v>199</v>
      </c>
      <c r="B7">
        <v>0</v>
      </c>
      <c r="C7">
        <v>0</v>
      </c>
      <c r="D7">
        <v>14</v>
      </c>
      <c r="E7">
        <v>14</v>
      </c>
      <c r="F7">
        <v>14</v>
      </c>
      <c r="G7">
        <v>14</v>
      </c>
      <c r="H7">
        <v>14</v>
      </c>
      <c r="I7">
        <v>14</v>
      </c>
      <c r="J7">
        <v>14</v>
      </c>
      <c r="K7">
        <v>14</v>
      </c>
      <c r="L7">
        <v>14</v>
      </c>
      <c r="M7">
        <v>0</v>
      </c>
      <c r="N7">
        <v>0</v>
      </c>
      <c r="O7">
        <v>14</v>
      </c>
      <c r="P7">
        <v>14</v>
      </c>
      <c r="Q7">
        <v>14</v>
      </c>
      <c r="R7">
        <v>14</v>
      </c>
      <c r="S7">
        <v>14</v>
      </c>
      <c r="T7">
        <v>14</v>
      </c>
      <c r="U7">
        <v>14</v>
      </c>
      <c r="V7">
        <v>14</v>
      </c>
      <c r="W7">
        <v>14</v>
      </c>
      <c r="X7">
        <v>0</v>
      </c>
      <c r="Y7">
        <v>0</v>
      </c>
      <c r="Z7">
        <v>14</v>
      </c>
      <c r="AA7">
        <v>14</v>
      </c>
      <c r="AB7">
        <v>14</v>
      </c>
      <c r="AC7">
        <v>14</v>
      </c>
      <c r="AD7">
        <v>14</v>
      </c>
      <c r="AE7">
        <v>14</v>
      </c>
      <c r="AF7">
        <v>14</v>
      </c>
      <c r="AG7">
        <v>14</v>
      </c>
      <c r="AH7">
        <v>14</v>
      </c>
      <c r="AI7">
        <v>0</v>
      </c>
      <c r="AJ7">
        <v>0</v>
      </c>
      <c r="AK7">
        <v>14</v>
      </c>
      <c r="AL7">
        <v>14</v>
      </c>
      <c r="AM7">
        <v>14</v>
      </c>
      <c r="AN7">
        <v>14</v>
      </c>
      <c r="AO7">
        <v>14</v>
      </c>
      <c r="AP7">
        <v>14</v>
      </c>
      <c r="AQ7">
        <v>14</v>
      </c>
      <c r="AR7">
        <v>14</v>
      </c>
      <c r="AS7">
        <v>14</v>
      </c>
      <c r="AT7">
        <v>0</v>
      </c>
      <c r="AU7">
        <v>0</v>
      </c>
      <c r="AV7">
        <v>14</v>
      </c>
      <c r="AW7">
        <v>14</v>
      </c>
      <c r="AX7">
        <v>14</v>
      </c>
      <c r="AY7">
        <v>14</v>
      </c>
      <c r="AZ7">
        <v>14</v>
      </c>
      <c r="BA7">
        <v>14</v>
      </c>
      <c r="BB7">
        <v>14</v>
      </c>
      <c r="BC7">
        <v>14</v>
      </c>
      <c r="BD7">
        <v>14</v>
      </c>
      <c r="BE7">
        <v>0</v>
      </c>
      <c r="BF7">
        <v>0</v>
      </c>
      <c r="BG7">
        <v>14</v>
      </c>
      <c r="BH7">
        <v>14</v>
      </c>
      <c r="BI7">
        <v>14</v>
      </c>
      <c r="BJ7">
        <v>14</v>
      </c>
      <c r="BK7">
        <v>14</v>
      </c>
      <c r="BL7">
        <v>14</v>
      </c>
      <c r="BM7">
        <v>14</v>
      </c>
      <c r="BN7">
        <v>14</v>
      </c>
      <c r="BO7">
        <v>14</v>
      </c>
      <c r="BP7">
        <v>0</v>
      </c>
      <c r="BQ7">
        <v>0</v>
      </c>
      <c r="BR7">
        <v>14</v>
      </c>
      <c r="BS7">
        <v>14</v>
      </c>
      <c r="BT7">
        <v>14</v>
      </c>
      <c r="BU7">
        <v>14</v>
      </c>
      <c r="BV7">
        <v>14</v>
      </c>
      <c r="BW7">
        <v>14</v>
      </c>
      <c r="BX7">
        <v>14</v>
      </c>
      <c r="BY7">
        <v>14</v>
      </c>
      <c r="BZ7">
        <v>14</v>
      </c>
      <c r="CA7">
        <v>0</v>
      </c>
      <c r="CB7">
        <v>0</v>
      </c>
      <c r="CC7">
        <v>14</v>
      </c>
      <c r="CD7">
        <v>14</v>
      </c>
      <c r="CE7">
        <v>14</v>
      </c>
      <c r="CF7">
        <v>14</v>
      </c>
      <c r="CG7">
        <v>14</v>
      </c>
      <c r="CH7">
        <v>14</v>
      </c>
      <c r="CI7">
        <v>14</v>
      </c>
      <c r="CJ7">
        <v>14</v>
      </c>
      <c r="CK7">
        <v>14</v>
      </c>
      <c r="CL7">
        <v>0</v>
      </c>
      <c r="CM7">
        <v>0</v>
      </c>
      <c r="CN7">
        <v>14</v>
      </c>
      <c r="CO7">
        <v>14</v>
      </c>
      <c r="CP7">
        <v>14</v>
      </c>
      <c r="CQ7">
        <v>14</v>
      </c>
      <c r="CR7">
        <v>14</v>
      </c>
      <c r="CS7">
        <v>14</v>
      </c>
      <c r="CT7">
        <v>14</v>
      </c>
      <c r="CU7">
        <v>14</v>
      </c>
      <c r="CV7">
        <v>14</v>
      </c>
      <c r="CW7">
        <v>0</v>
      </c>
      <c r="CX7">
        <v>0</v>
      </c>
      <c r="CY7">
        <v>14</v>
      </c>
      <c r="CZ7">
        <v>14</v>
      </c>
      <c r="DA7">
        <v>14</v>
      </c>
      <c r="DB7">
        <v>14</v>
      </c>
      <c r="DC7">
        <v>14</v>
      </c>
      <c r="DD7">
        <v>14</v>
      </c>
      <c r="DE7">
        <v>14</v>
      </c>
      <c r="DF7">
        <v>14</v>
      </c>
      <c r="DG7">
        <v>14</v>
      </c>
      <c r="DH7">
        <v>0</v>
      </c>
      <c r="DI7">
        <v>0</v>
      </c>
      <c r="DJ7">
        <v>14</v>
      </c>
      <c r="DK7">
        <v>14</v>
      </c>
      <c r="DL7">
        <v>14</v>
      </c>
      <c r="DM7">
        <v>14</v>
      </c>
      <c r="DN7">
        <v>14</v>
      </c>
      <c r="DO7">
        <v>14</v>
      </c>
      <c r="DP7">
        <v>14</v>
      </c>
      <c r="DQ7">
        <v>14</v>
      </c>
      <c r="DR7">
        <v>14</v>
      </c>
      <c r="DS7">
        <v>0</v>
      </c>
      <c r="DT7">
        <v>0</v>
      </c>
      <c r="DU7">
        <v>14</v>
      </c>
      <c r="DV7">
        <v>14</v>
      </c>
      <c r="DW7">
        <v>14</v>
      </c>
      <c r="DX7">
        <v>14</v>
      </c>
      <c r="DY7">
        <v>14</v>
      </c>
      <c r="DZ7">
        <v>14</v>
      </c>
      <c r="EA7">
        <v>14</v>
      </c>
      <c r="EB7">
        <v>14</v>
      </c>
      <c r="EC7">
        <v>14</v>
      </c>
      <c r="ED7">
        <v>0</v>
      </c>
      <c r="EE7">
        <v>0</v>
      </c>
      <c r="EF7">
        <v>14</v>
      </c>
      <c r="EG7">
        <v>14</v>
      </c>
      <c r="EH7">
        <v>14</v>
      </c>
      <c r="EI7">
        <v>14</v>
      </c>
      <c r="EJ7">
        <v>14</v>
      </c>
      <c r="EK7">
        <v>14</v>
      </c>
      <c r="EL7">
        <v>14</v>
      </c>
      <c r="EM7">
        <v>14</v>
      </c>
      <c r="EN7">
        <v>14</v>
      </c>
      <c r="EO7">
        <v>0</v>
      </c>
      <c r="EP7">
        <v>0</v>
      </c>
      <c r="EQ7">
        <v>14</v>
      </c>
      <c r="ER7">
        <v>14</v>
      </c>
      <c r="ES7">
        <v>14</v>
      </c>
      <c r="ET7">
        <v>14</v>
      </c>
      <c r="EU7">
        <v>14</v>
      </c>
      <c r="EV7">
        <v>14</v>
      </c>
      <c r="EW7">
        <v>14</v>
      </c>
      <c r="EX7">
        <v>14</v>
      </c>
      <c r="EY7">
        <v>14</v>
      </c>
      <c r="EZ7">
        <v>0</v>
      </c>
      <c r="FA7">
        <v>0</v>
      </c>
      <c r="FB7">
        <v>14</v>
      </c>
      <c r="FC7">
        <v>14</v>
      </c>
      <c r="FD7">
        <v>14</v>
      </c>
      <c r="FE7">
        <v>14</v>
      </c>
      <c r="FF7">
        <v>14</v>
      </c>
      <c r="FG7">
        <v>14</v>
      </c>
      <c r="FH7">
        <v>14</v>
      </c>
      <c r="FI7">
        <v>14</v>
      </c>
      <c r="FJ7">
        <v>14</v>
      </c>
      <c r="FK7">
        <v>0</v>
      </c>
      <c r="FL7">
        <v>0</v>
      </c>
      <c r="FM7">
        <v>14</v>
      </c>
      <c r="FN7">
        <v>14</v>
      </c>
      <c r="FO7">
        <v>14</v>
      </c>
      <c r="FP7">
        <v>14</v>
      </c>
      <c r="FQ7">
        <v>14</v>
      </c>
      <c r="FR7">
        <v>14</v>
      </c>
      <c r="FS7">
        <v>14</v>
      </c>
      <c r="FT7">
        <v>14</v>
      </c>
      <c r="FU7">
        <v>14</v>
      </c>
      <c r="FV7">
        <v>0</v>
      </c>
      <c r="FW7">
        <v>0</v>
      </c>
      <c r="FX7">
        <v>14</v>
      </c>
      <c r="FY7">
        <v>14</v>
      </c>
      <c r="FZ7">
        <v>14</v>
      </c>
      <c r="GA7">
        <v>14</v>
      </c>
      <c r="GB7">
        <v>14</v>
      </c>
      <c r="GC7">
        <v>14</v>
      </c>
      <c r="GD7">
        <v>14</v>
      </c>
      <c r="GE7">
        <v>14</v>
      </c>
      <c r="GF7">
        <v>14</v>
      </c>
      <c r="GG7">
        <v>0</v>
      </c>
      <c r="GH7">
        <v>0</v>
      </c>
      <c r="GI7">
        <v>14</v>
      </c>
      <c r="GJ7">
        <v>14</v>
      </c>
      <c r="GK7">
        <v>14</v>
      </c>
      <c r="GL7">
        <v>14</v>
      </c>
      <c r="GM7">
        <v>14</v>
      </c>
      <c r="GN7">
        <v>14</v>
      </c>
      <c r="GO7">
        <v>14</v>
      </c>
      <c r="GP7">
        <v>14</v>
      </c>
      <c r="GQ7">
        <v>14</v>
      </c>
      <c r="GR7">
        <v>0</v>
      </c>
      <c r="GS7">
        <v>0</v>
      </c>
      <c r="GT7">
        <v>14</v>
      </c>
      <c r="GU7">
        <v>14</v>
      </c>
      <c r="GV7">
        <v>14</v>
      </c>
      <c r="GW7">
        <v>14</v>
      </c>
      <c r="GX7">
        <v>14</v>
      </c>
      <c r="GY7">
        <v>14</v>
      </c>
      <c r="GZ7">
        <v>14</v>
      </c>
      <c r="HA7">
        <v>14</v>
      </c>
      <c r="HB7">
        <v>14</v>
      </c>
      <c r="HC7">
        <v>0</v>
      </c>
      <c r="HD7">
        <v>0</v>
      </c>
      <c r="HE7">
        <v>14</v>
      </c>
      <c r="HF7">
        <v>14</v>
      </c>
      <c r="HG7">
        <v>14</v>
      </c>
      <c r="HH7">
        <v>14</v>
      </c>
      <c r="HI7">
        <v>14</v>
      </c>
      <c r="HJ7">
        <v>14</v>
      </c>
      <c r="HK7">
        <v>14</v>
      </c>
      <c r="HL7">
        <v>14</v>
      </c>
      <c r="HM7">
        <v>14</v>
      </c>
      <c r="HN7">
        <v>0</v>
      </c>
      <c r="HO7">
        <v>0</v>
      </c>
      <c r="HP7">
        <v>14</v>
      </c>
      <c r="HQ7">
        <v>14</v>
      </c>
      <c r="HR7">
        <v>14</v>
      </c>
      <c r="HS7">
        <v>14</v>
      </c>
      <c r="HT7">
        <v>14</v>
      </c>
      <c r="HU7">
        <v>14</v>
      </c>
      <c r="HV7">
        <v>14</v>
      </c>
      <c r="HW7">
        <v>14</v>
      </c>
      <c r="HX7">
        <v>14</v>
      </c>
      <c r="HY7">
        <v>0</v>
      </c>
      <c r="HZ7">
        <v>0</v>
      </c>
      <c r="IA7">
        <v>14</v>
      </c>
      <c r="IB7">
        <v>14</v>
      </c>
      <c r="IC7">
        <v>14</v>
      </c>
      <c r="ID7">
        <v>14</v>
      </c>
      <c r="IE7">
        <v>14</v>
      </c>
      <c r="IF7">
        <v>14</v>
      </c>
      <c r="IG7">
        <v>14</v>
      </c>
      <c r="IH7">
        <v>14</v>
      </c>
      <c r="II7">
        <v>14</v>
      </c>
      <c r="IJ7">
        <v>0</v>
      </c>
      <c r="IK7">
        <v>0</v>
      </c>
      <c r="IL7">
        <v>14</v>
      </c>
      <c r="IM7">
        <v>14</v>
      </c>
      <c r="IN7">
        <v>14</v>
      </c>
      <c r="IO7">
        <v>14</v>
      </c>
      <c r="IP7">
        <v>14</v>
      </c>
      <c r="IQ7">
        <v>14</v>
      </c>
      <c r="IR7">
        <v>14</v>
      </c>
      <c r="IS7">
        <v>14</v>
      </c>
      <c r="IT7">
        <v>14</v>
      </c>
      <c r="IU7">
        <v>0</v>
      </c>
      <c r="IV7">
        <v>0</v>
      </c>
      <c r="IW7">
        <v>14</v>
      </c>
      <c r="IX7">
        <v>14</v>
      </c>
      <c r="IY7">
        <v>14</v>
      </c>
      <c r="IZ7">
        <v>14</v>
      </c>
      <c r="JA7">
        <v>14</v>
      </c>
      <c r="JB7">
        <v>14</v>
      </c>
      <c r="JC7">
        <v>14</v>
      </c>
      <c r="JD7">
        <v>14</v>
      </c>
      <c r="JE7">
        <v>14</v>
      </c>
      <c r="JF7">
        <v>0</v>
      </c>
      <c r="JG7">
        <v>0</v>
      </c>
      <c r="JH7">
        <v>14</v>
      </c>
      <c r="JI7">
        <v>14</v>
      </c>
      <c r="JJ7">
        <v>14</v>
      </c>
      <c r="JK7">
        <v>14</v>
      </c>
      <c r="JL7">
        <v>14</v>
      </c>
      <c r="JM7">
        <v>14</v>
      </c>
      <c r="JN7">
        <v>14</v>
      </c>
      <c r="JO7">
        <v>14</v>
      </c>
      <c r="JP7">
        <v>14</v>
      </c>
      <c r="JQ7">
        <v>0</v>
      </c>
      <c r="JR7">
        <v>0</v>
      </c>
      <c r="JS7">
        <v>14</v>
      </c>
      <c r="JT7">
        <v>14</v>
      </c>
      <c r="JU7">
        <v>14</v>
      </c>
      <c r="JV7">
        <v>14</v>
      </c>
      <c r="JW7">
        <v>14</v>
      </c>
      <c r="JX7">
        <v>14</v>
      </c>
      <c r="JY7">
        <v>14</v>
      </c>
      <c r="JZ7">
        <v>14</v>
      </c>
      <c r="KA7">
        <v>14</v>
      </c>
      <c r="KB7">
        <v>0</v>
      </c>
      <c r="KC7">
        <v>0</v>
      </c>
      <c r="KD7">
        <v>14</v>
      </c>
      <c r="KE7">
        <v>14</v>
      </c>
      <c r="KF7">
        <v>14</v>
      </c>
      <c r="KG7">
        <v>14</v>
      </c>
      <c r="KH7">
        <v>14</v>
      </c>
      <c r="KI7">
        <v>14</v>
      </c>
      <c r="KJ7">
        <v>14</v>
      </c>
      <c r="KK7">
        <v>14</v>
      </c>
      <c r="KL7">
        <v>14</v>
      </c>
      <c r="KM7">
        <v>0</v>
      </c>
      <c r="KN7">
        <v>0</v>
      </c>
      <c r="KO7">
        <v>14</v>
      </c>
      <c r="KP7">
        <v>14</v>
      </c>
      <c r="KQ7">
        <v>14</v>
      </c>
      <c r="KR7">
        <v>14</v>
      </c>
      <c r="KS7">
        <v>14</v>
      </c>
      <c r="KT7">
        <v>14</v>
      </c>
      <c r="KU7">
        <v>14</v>
      </c>
      <c r="KV7">
        <v>14</v>
      </c>
      <c r="KW7">
        <v>14</v>
      </c>
      <c r="KX7">
        <v>0</v>
      </c>
      <c r="KY7">
        <v>0</v>
      </c>
      <c r="KZ7">
        <v>14</v>
      </c>
      <c r="LA7">
        <v>14</v>
      </c>
      <c r="LB7">
        <v>14</v>
      </c>
      <c r="LC7">
        <v>14</v>
      </c>
      <c r="LD7">
        <v>14</v>
      </c>
      <c r="LE7">
        <v>14</v>
      </c>
      <c r="LF7">
        <v>14</v>
      </c>
      <c r="LG7">
        <v>14</v>
      </c>
      <c r="LH7">
        <v>14</v>
      </c>
      <c r="LI7">
        <v>0</v>
      </c>
      <c r="LJ7">
        <v>0</v>
      </c>
      <c r="LK7">
        <v>14</v>
      </c>
      <c r="LL7">
        <v>14</v>
      </c>
      <c r="LM7">
        <v>14</v>
      </c>
      <c r="LN7">
        <v>14</v>
      </c>
      <c r="LO7">
        <v>14</v>
      </c>
      <c r="LP7">
        <v>14</v>
      </c>
      <c r="LQ7">
        <v>14</v>
      </c>
      <c r="LR7">
        <v>14</v>
      </c>
      <c r="LS7">
        <v>14</v>
      </c>
      <c r="LT7">
        <v>0</v>
      </c>
      <c r="LU7">
        <v>0</v>
      </c>
      <c r="LV7">
        <v>14</v>
      </c>
      <c r="LW7">
        <v>14</v>
      </c>
      <c r="LX7">
        <v>14</v>
      </c>
      <c r="LY7">
        <v>14</v>
      </c>
      <c r="LZ7">
        <v>14</v>
      </c>
      <c r="MA7">
        <v>14</v>
      </c>
      <c r="MB7">
        <v>14</v>
      </c>
      <c r="MC7">
        <v>14</v>
      </c>
      <c r="MD7">
        <v>14</v>
      </c>
      <c r="ME7">
        <v>0</v>
      </c>
      <c r="MF7">
        <v>0</v>
      </c>
      <c r="MG7">
        <v>14</v>
      </c>
      <c r="MH7">
        <v>14</v>
      </c>
      <c r="MI7">
        <v>14</v>
      </c>
      <c r="MJ7">
        <v>14</v>
      </c>
      <c r="MK7">
        <v>14</v>
      </c>
      <c r="ML7">
        <v>14</v>
      </c>
      <c r="MM7">
        <v>14</v>
      </c>
      <c r="MN7">
        <v>14</v>
      </c>
      <c r="MO7">
        <v>14</v>
      </c>
      <c r="MP7">
        <v>0</v>
      </c>
      <c r="MQ7">
        <v>0</v>
      </c>
      <c r="MR7">
        <v>14</v>
      </c>
      <c r="MS7">
        <v>14</v>
      </c>
      <c r="MT7">
        <v>14</v>
      </c>
      <c r="MU7">
        <v>14</v>
      </c>
      <c r="MV7">
        <v>14</v>
      </c>
      <c r="MW7">
        <v>14</v>
      </c>
      <c r="MX7">
        <v>14</v>
      </c>
      <c r="MY7">
        <v>14</v>
      </c>
      <c r="MZ7">
        <v>14</v>
      </c>
      <c r="NA7">
        <v>0</v>
      </c>
      <c r="NB7">
        <v>0</v>
      </c>
      <c r="NC7">
        <v>14</v>
      </c>
      <c r="ND7">
        <v>14</v>
      </c>
      <c r="NE7">
        <v>14</v>
      </c>
      <c r="NF7">
        <v>14</v>
      </c>
      <c r="NG7">
        <v>14</v>
      </c>
      <c r="NH7">
        <v>14</v>
      </c>
      <c r="NI7">
        <v>14</v>
      </c>
      <c r="NJ7">
        <v>14</v>
      </c>
      <c r="NK7">
        <v>14</v>
      </c>
      <c r="NL7">
        <v>0</v>
      </c>
      <c r="NM7">
        <v>0</v>
      </c>
      <c r="NN7">
        <v>14</v>
      </c>
      <c r="NO7">
        <v>14</v>
      </c>
      <c r="NP7">
        <v>14</v>
      </c>
      <c r="NQ7">
        <v>14</v>
      </c>
      <c r="NR7">
        <v>14</v>
      </c>
      <c r="NS7">
        <v>14</v>
      </c>
      <c r="NT7">
        <v>14</v>
      </c>
      <c r="NU7">
        <v>14</v>
      </c>
      <c r="NV7">
        <v>14</v>
      </c>
      <c r="NW7">
        <v>0</v>
      </c>
      <c r="NX7">
        <v>0</v>
      </c>
      <c r="NY7">
        <v>14</v>
      </c>
      <c r="NZ7">
        <v>14</v>
      </c>
      <c r="OA7">
        <v>14</v>
      </c>
      <c r="OB7">
        <v>14</v>
      </c>
      <c r="OC7">
        <v>14</v>
      </c>
      <c r="OD7">
        <v>14</v>
      </c>
      <c r="OE7">
        <v>14</v>
      </c>
      <c r="OF7">
        <v>14</v>
      </c>
      <c r="OG7">
        <v>14</v>
      </c>
      <c r="OH7">
        <v>0</v>
      </c>
      <c r="OI7">
        <v>0</v>
      </c>
      <c r="OJ7">
        <v>14</v>
      </c>
      <c r="OK7">
        <v>14</v>
      </c>
      <c r="OL7">
        <v>14</v>
      </c>
      <c r="OM7">
        <v>14</v>
      </c>
      <c r="ON7">
        <v>14</v>
      </c>
      <c r="OO7">
        <v>14</v>
      </c>
      <c r="OP7">
        <v>14</v>
      </c>
      <c r="OQ7">
        <v>14</v>
      </c>
      <c r="OR7">
        <v>14</v>
      </c>
      <c r="OS7">
        <v>0</v>
      </c>
      <c r="OT7">
        <v>0</v>
      </c>
      <c r="OU7">
        <v>14</v>
      </c>
      <c r="OV7">
        <v>14</v>
      </c>
      <c r="OW7">
        <v>14</v>
      </c>
      <c r="OX7">
        <v>14</v>
      </c>
      <c r="OY7">
        <v>14</v>
      </c>
      <c r="OZ7">
        <v>14</v>
      </c>
      <c r="PA7">
        <v>14</v>
      </c>
      <c r="PB7">
        <v>14</v>
      </c>
      <c r="PC7">
        <v>14</v>
      </c>
      <c r="PD7">
        <v>0</v>
      </c>
      <c r="PE7">
        <v>0</v>
      </c>
      <c r="PF7">
        <v>14</v>
      </c>
      <c r="PG7">
        <v>14</v>
      </c>
      <c r="PH7">
        <v>14</v>
      </c>
      <c r="PI7">
        <v>14</v>
      </c>
      <c r="PJ7">
        <v>14</v>
      </c>
      <c r="PK7">
        <v>14</v>
      </c>
      <c r="PL7">
        <v>14</v>
      </c>
      <c r="PM7">
        <v>14</v>
      </c>
      <c r="PN7">
        <v>14</v>
      </c>
      <c r="PO7">
        <v>0</v>
      </c>
      <c r="PP7">
        <v>0</v>
      </c>
      <c r="PQ7">
        <v>14</v>
      </c>
      <c r="PR7">
        <v>14</v>
      </c>
      <c r="PS7">
        <v>14</v>
      </c>
      <c r="PT7">
        <v>14</v>
      </c>
      <c r="PU7">
        <v>14</v>
      </c>
      <c r="PV7">
        <v>14</v>
      </c>
      <c r="PW7">
        <v>14</v>
      </c>
      <c r="PX7">
        <v>14</v>
      </c>
      <c r="PY7">
        <v>14</v>
      </c>
      <c r="PZ7">
        <v>0</v>
      </c>
      <c r="QA7">
        <v>0</v>
      </c>
      <c r="QB7">
        <v>14</v>
      </c>
      <c r="QC7">
        <v>14</v>
      </c>
      <c r="QD7">
        <v>14</v>
      </c>
      <c r="QE7">
        <v>14</v>
      </c>
      <c r="QF7">
        <v>14</v>
      </c>
      <c r="QG7">
        <v>14</v>
      </c>
      <c r="QH7">
        <v>14</v>
      </c>
      <c r="QI7">
        <v>14</v>
      </c>
      <c r="QJ7">
        <v>14</v>
      </c>
      <c r="QK7">
        <v>0</v>
      </c>
      <c r="QL7">
        <v>0</v>
      </c>
      <c r="QM7">
        <v>14</v>
      </c>
      <c r="QN7">
        <v>14</v>
      </c>
      <c r="QO7">
        <v>14</v>
      </c>
      <c r="QP7">
        <v>14</v>
      </c>
      <c r="QQ7">
        <v>14</v>
      </c>
      <c r="QR7">
        <v>14</v>
      </c>
      <c r="QS7">
        <v>14</v>
      </c>
      <c r="QT7">
        <v>14</v>
      </c>
      <c r="QU7">
        <v>14</v>
      </c>
      <c r="QV7">
        <v>0</v>
      </c>
      <c r="QW7">
        <v>0</v>
      </c>
      <c r="QX7">
        <v>14</v>
      </c>
      <c r="QY7">
        <v>14</v>
      </c>
      <c r="QZ7">
        <v>14</v>
      </c>
      <c r="RA7">
        <v>14</v>
      </c>
      <c r="RB7">
        <v>14</v>
      </c>
      <c r="RC7">
        <v>14</v>
      </c>
      <c r="RD7">
        <v>14</v>
      </c>
      <c r="RE7">
        <v>14</v>
      </c>
      <c r="RF7">
        <v>14</v>
      </c>
      <c r="RG7">
        <v>0</v>
      </c>
      <c r="RH7">
        <v>0</v>
      </c>
      <c r="RI7">
        <v>14</v>
      </c>
      <c r="RJ7">
        <v>14</v>
      </c>
      <c r="RK7">
        <v>14</v>
      </c>
      <c r="RL7">
        <v>14</v>
      </c>
      <c r="RM7">
        <v>14</v>
      </c>
      <c r="RN7">
        <v>14</v>
      </c>
      <c r="RO7">
        <v>14</v>
      </c>
      <c r="RP7">
        <v>14</v>
      </c>
      <c r="RQ7">
        <v>14</v>
      </c>
      <c r="RR7">
        <v>0</v>
      </c>
      <c r="RS7">
        <v>0</v>
      </c>
      <c r="RT7">
        <v>14</v>
      </c>
      <c r="RU7">
        <v>14</v>
      </c>
      <c r="RV7">
        <v>14</v>
      </c>
      <c r="RW7">
        <v>14</v>
      </c>
      <c r="RX7">
        <v>14</v>
      </c>
      <c r="RY7">
        <v>14</v>
      </c>
      <c r="RZ7">
        <v>14</v>
      </c>
      <c r="SA7">
        <v>14</v>
      </c>
      <c r="SB7">
        <v>14</v>
      </c>
      <c r="SC7">
        <v>0</v>
      </c>
      <c r="SD7">
        <v>0</v>
      </c>
      <c r="SE7">
        <v>14</v>
      </c>
      <c r="SF7">
        <v>14</v>
      </c>
      <c r="SG7">
        <v>14</v>
      </c>
      <c r="SH7">
        <v>14</v>
      </c>
      <c r="SI7">
        <v>14</v>
      </c>
      <c r="SJ7">
        <v>14</v>
      </c>
      <c r="SK7">
        <v>14</v>
      </c>
      <c r="SL7">
        <v>14</v>
      </c>
      <c r="SM7">
        <v>14</v>
      </c>
      <c r="SN7">
        <v>0</v>
      </c>
      <c r="SO7">
        <v>0</v>
      </c>
      <c r="SP7">
        <v>14</v>
      </c>
      <c r="SQ7">
        <v>14</v>
      </c>
      <c r="SR7">
        <v>14</v>
      </c>
      <c r="SS7">
        <v>14</v>
      </c>
      <c r="ST7">
        <v>14</v>
      </c>
      <c r="SU7">
        <v>14</v>
      </c>
      <c r="SV7">
        <v>14</v>
      </c>
      <c r="SW7">
        <v>14</v>
      </c>
      <c r="SX7">
        <v>14</v>
      </c>
      <c r="SY7">
        <v>0</v>
      </c>
      <c r="SZ7">
        <v>0</v>
      </c>
      <c r="TA7">
        <v>14</v>
      </c>
      <c r="TB7">
        <v>14</v>
      </c>
      <c r="TC7">
        <v>14</v>
      </c>
      <c r="TD7">
        <v>14</v>
      </c>
      <c r="TE7">
        <v>14</v>
      </c>
      <c r="TF7">
        <v>14</v>
      </c>
      <c r="TG7">
        <v>14</v>
      </c>
      <c r="TH7">
        <v>14</v>
      </c>
      <c r="TI7">
        <v>14</v>
      </c>
      <c r="TJ7">
        <v>0</v>
      </c>
      <c r="TK7">
        <v>0</v>
      </c>
      <c r="TL7">
        <v>14</v>
      </c>
      <c r="TM7">
        <v>14</v>
      </c>
      <c r="TN7">
        <v>14</v>
      </c>
      <c r="TO7">
        <v>14</v>
      </c>
      <c r="TP7">
        <v>14</v>
      </c>
      <c r="TQ7">
        <v>14</v>
      </c>
      <c r="TR7">
        <v>14</v>
      </c>
      <c r="TS7">
        <v>14</v>
      </c>
      <c r="TT7">
        <v>14</v>
      </c>
      <c r="TU7">
        <v>0</v>
      </c>
      <c r="TV7">
        <v>0</v>
      </c>
      <c r="TW7">
        <v>14</v>
      </c>
      <c r="TX7">
        <v>14</v>
      </c>
      <c r="TY7">
        <v>14</v>
      </c>
      <c r="TZ7">
        <v>14</v>
      </c>
      <c r="UA7">
        <v>14</v>
      </c>
      <c r="UB7">
        <v>14</v>
      </c>
      <c r="UC7">
        <v>14</v>
      </c>
      <c r="UD7">
        <v>14</v>
      </c>
      <c r="UE7">
        <v>14</v>
      </c>
      <c r="UF7">
        <v>0</v>
      </c>
      <c r="UG7">
        <v>0</v>
      </c>
      <c r="UH7">
        <v>14</v>
      </c>
      <c r="UI7">
        <v>14</v>
      </c>
      <c r="UJ7">
        <v>14</v>
      </c>
      <c r="UK7">
        <v>14</v>
      </c>
      <c r="UL7">
        <v>14</v>
      </c>
      <c r="UM7">
        <v>14</v>
      </c>
      <c r="UN7">
        <v>14</v>
      </c>
      <c r="UO7">
        <v>14</v>
      </c>
      <c r="UP7">
        <v>14</v>
      </c>
      <c r="UQ7">
        <v>0</v>
      </c>
      <c r="UR7">
        <v>0</v>
      </c>
      <c r="US7">
        <v>14</v>
      </c>
      <c r="UT7">
        <v>14</v>
      </c>
      <c r="UU7">
        <v>14</v>
      </c>
      <c r="UV7">
        <v>14</v>
      </c>
      <c r="UW7">
        <v>14</v>
      </c>
      <c r="UX7">
        <v>14</v>
      </c>
      <c r="UY7">
        <v>14</v>
      </c>
      <c r="UZ7">
        <v>14</v>
      </c>
      <c r="VA7">
        <v>14</v>
      </c>
      <c r="VB7">
        <v>0</v>
      </c>
      <c r="VC7">
        <v>0</v>
      </c>
      <c r="VD7">
        <v>14</v>
      </c>
      <c r="VE7">
        <v>14</v>
      </c>
      <c r="VF7">
        <v>14</v>
      </c>
      <c r="VG7">
        <v>14</v>
      </c>
      <c r="VH7">
        <v>14</v>
      </c>
      <c r="VI7">
        <v>14</v>
      </c>
      <c r="VJ7">
        <v>14</v>
      </c>
      <c r="VK7">
        <v>14</v>
      </c>
      <c r="VL7">
        <v>14</v>
      </c>
      <c r="VM7">
        <v>0</v>
      </c>
      <c r="VN7">
        <v>0</v>
      </c>
      <c r="VO7">
        <v>14</v>
      </c>
      <c r="VP7">
        <v>14</v>
      </c>
      <c r="VQ7">
        <v>14</v>
      </c>
      <c r="VR7">
        <v>14</v>
      </c>
      <c r="VS7">
        <v>14</v>
      </c>
      <c r="VT7">
        <v>14</v>
      </c>
      <c r="VU7">
        <v>14</v>
      </c>
      <c r="VV7">
        <v>14</v>
      </c>
      <c r="VW7">
        <v>14</v>
      </c>
      <c r="VX7">
        <v>0</v>
      </c>
      <c r="VY7">
        <v>0</v>
      </c>
      <c r="VZ7">
        <v>14</v>
      </c>
      <c r="WA7">
        <v>14</v>
      </c>
      <c r="WB7">
        <v>14</v>
      </c>
      <c r="WC7">
        <v>14</v>
      </c>
      <c r="WD7">
        <v>14</v>
      </c>
      <c r="WE7">
        <v>14</v>
      </c>
      <c r="WF7">
        <v>14</v>
      </c>
      <c r="WG7">
        <v>14</v>
      </c>
      <c r="WH7">
        <v>14</v>
      </c>
      <c r="WI7">
        <v>0</v>
      </c>
      <c r="WJ7">
        <v>0</v>
      </c>
      <c r="WK7">
        <v>14</v>
      </c>
      <c r="WL7">
        <v>14</v>
      </c>
      <c r="WM7">
        <v>14</v>
      </c>
      <c r="WN7">
        <v>14</v>
      </c>
      <c r="WO7">
        <v>14</v>
      </c>
      <c r="WP7">
        <v>14</v>
      </c>
      <c r="WQ7">
        <v>14</v>
      </c>
      <c r="WR7">
        <v>14</v>
      </c>
      <c r="WS7">
        <v>14</v>
      </c>
      <c r="WT7">
        <v>0</v>
      </c>
      <c r="WU7">
        <v>0</v>
      </c>
      <c r="WV7">
        <v>14</v>
      </c>
      <c r="WW7">
        <v>14</v>
      </c>
      <c r="WX7">
        <v>14</v>
      </c>
      <c r="WY7">
        <v>14</v>
      </c>
      <c r="WZ7">
        <v>14</v>
      </c>
      <c r="XA7">
        <v>14</v>
      </c>
      <c r="XB7">
        <v>14</v>
      </c>
      <c r="XC7">
        <v>14</v>
      </c>
      <c r="XD7">
        <v>14</v>
      </c>
      <c r="XE7">
        <v>0</v>
      </c>
      <c r="XF7">
        <v>0</v>
      </c>
      <c r="XG7">
        <v>14</v>
      </c>
      <c r="XH7">
        <v>14</v>
      </c>
      <c r="XI7">
        <v>14</v>
      </c>
      <c r="XJ7">
        <v>14</v>
      </c>
      <c r="XK7">
        <v>14</v>
      </c>
      <c r="XL7">
        <v>14</v>
      </c>
      <c r="XM7">
        <v>14</v>
      </c>
      <c r="XN7">
        <v>14</v>
      </c>
      <c r="XO7">
        <v>14</v>
      </c>
      <c r="XP7">
        <v>0</v>
      </c>
      <c r="XQ7">
        <v>0</v>
      </c>
      <c r="XR7">
        <v>14</v>
      </c>
      <c r="XS7">
        <v>14</v>
      </c>
      <c r="XT7">
        <v>14</v>
      </c>
      <c r="XU7">
        <v>14</v>
      </c>
      <c r="XV7">
        <v>14</v>
      </c>
      <c r="XW7">
        <v>14</v>
      </c>
      <c r="XX7">
        <v>14</v>
      </c>
      <c r="XY7">
        <v>14</v>
      </c>
      <c r="XZ7">
        <v>14</v>
      </c>
      <c r="YA7">
        <v>0</v>
      </c>
      <c r="YB7">
        <v>0</v>
      </c>
      <c r="YC7">
        <v>14</v>
      </c>
      <c r="YD7">
        <v>14</v>
      </c>
      <c r="YE7">
        <v>14</v>
      </c>
      <c r="YF7">
        <v>14</v>
      </c>
      <c r="YG7">
        <v>14</v>
      </c>
      <c r="YH7">
        <v>14</v>
      </c>
      <c r="YI7">
        <v>14</v>
      </c>
      <c r="YJ7">
        <v>14</v>
      </c>
      <c r="YK7">
        <v>14</v>
      </c>
      <c r="YL7">
        <v>0</v>
      </c>
      <c r="YM7">
        <v>0</v>
      </c>
      <c r="YN7">
        <v>14</v>
      </c>
      <c r="YO7">
        <v>14</v>
      </c>
      <c r="YP7">
        <v>14</v>
      </c>
      <c r="YQ7">
        <v>14</v>
      </c>
      <c r="YR7">
        <v>14</v>
      </c>
      <c r="YS7">
        <v>14</v>
      </c>
      <c r="YT7">
        <v>14</v>
      </c>
      <c r="YU7">
        <v>14</v>
      </c>
      <c r="YV7">
        <v>14</v>
      </c>
      <c r="YW7">
        <v>0</v>
      </c>
      <c r="YX7">
        <v>0</v>
      </c>
      <c r="YY7">
        <v>14</v>
      </c>
      <c r="YZ7">
        <v>14</v>
      </c>
      <c r="ZA7">
        <v>14</v>
      </c>
      <c r="ZB7">
        <v>14</v>
      </c>
      <c r="ZC7">
        <v>14</v>
      </c>
      <c r="ZD7">
        <v>14</v>
      </c>
      <c r="ZE7">
        <v>14</v>
      </c>
      <c r="ZF7">
        <v>14</v>
      </c>
      <c r="ZG7">
        <v>14</v>
      </c>
      <c r="ZH7">
        <v>0</v>
      </c>
      <c r="ZI7">
        <v>0</v>
      </c>
      <c r="ZJ7">
        <v>14</v>
      </c>
      <c r="ZK7">
        <v>14</v>
      </c>
      <c r="ZL7">
        <v>14</v>
      </c>
      <c r="ZM7">
        <v>14</v>
      </c>
      <c r="ZN7">
        <v>14</v>
      </c>
      <c r="ZO7">
        <v>14</v>
      </c>
      <c r="ZP7">
        <v>14</v>
      </c>
      <c r="ZQ7">
        <v>14</v>
      </c>
      <c r="ZR7">
        <v>14</v>
      </c>
      <c r="ZS7">
        <v>0</v>
      </c>
      <c r="ZT7">
        <v>0</v>
      </c>
      <c r="ZU7">
        <v>14</v>
      </c>
      <c r="ZV7">
        <v>14</v>
      </c>
      <c r="ZW7">
        <v>14</v>
      </c>
      <c r="ZX7">
        <v>14</v>
      </c>
      <c r="ZY7">
        <v>14</v>
      </c>
      <c r="ZZ7">
        <v>14</v>
      </c>
      <c r="AAA7">
        <v>14</v>
      </c>
      <c r="AAB7">
        <v>14</v>
      </c>
      <c r="AAC7">
        <v>14</v>
      </c>
      <c r="AAD7">
        <v>0</v>
      </c>
      <c r="AAE7">
        <v>0</v>
      </c>
      <c r="AAF7">
        <v>14</v>
      </c>
      <c r="AAG7">
        <v>14</v>
      </c>
      <c r="AAH7">
        <v>14</v>
      </c>
      <c r="AAI7">
        <v>14</v>
      </c>
      <c r="AAJ7">
        <v>14</v>
      </c>
      <c r="AAK7">
        <v>14</v>
      </c>
      <c r="AAL7">
        <v>14</v>
      </c>
      <c r="AAM7">
        <v>14</v>
      </c>
      <c r="AAN7">
        <v>14</v>
      </c>
      <c r="AAO7">
        <v>0</v>
      </c>
      <c r="AAP7">
        <v>0</v>
      </c>
      <c r="AAQ7">
        <v>14</v>
      </c>
      <c r="AAR7">
        <v>14</v>
      </c>
      <c r="AAS7">
        <v>14</v>
      </c>
      <c r="AAT7">
        <v>14</v>
      </c>
      <c r="AAU7">
        <v>14</v>
      </c>
      <c r="AAV7">
        <v>14</v>
      </c>
      <c r="AAW7">
        <v>14</v>
      </c>
      <c r="AAX7">
        <v>14</v>
      </c>
      <c r="AAY7">
        <v>14</v>
      </c>
      <c r="AAZ7">
        <v>0</v>
      </c>
      <c r="ABA7">
        <v>0</v>
      </c>
      <c r="ABB7">
        <v>14</v>
      </c>
      <c r="ABC7">
        <v>14</v>
      </c>
      <c r="ABD7">
        <v>14</v>
      </c>
      <c r="ABE7">
        <v>14</v>
      </c>
      <c r="ABF7">
        <v>14</v>
      </c>
      <c r="ABG7">
        <v>14</v>
      </c>
      <c r="ABH7">
        <v>14</v>
      </c>
      <c r="ABI7">
        <v>14</v>
      </c>
      <c r="ABJ7">
        <v>14</v>
      </c>
      <c r="ABK7">
        <v>0</v>
      </c>
      <c r="ABL7">
        <v>0</v>
      </c>
      <c r="ABM7">
        <v>14</v>
      </c>
      <c r="ABN7">
        <v>14</v>
      </c>
      <c r="ABO7">
        <v>14</v>
      </c>
      <c r="ABP7">
        <v>14</v>
      </c>
      <c r="ABQ7">
        <v>14</v>
      </c>
      <c r="ABR7">
        <v>14</v>
      </c>
      <c r="ABS7">
        <v>14</v>
      </c>
      <c r="ABT7">
        <v>14</v>
      </c>
      <c r="ABU7">
        <v>14</v>
      </c>
      <c r="ABV7">
        <v>0</v>
      </c>
      <c r="ABW7">
        <v>0</v>
      </c>
      <c r="ABX7">
        <v>14</v>
      </c>
      <c r="ABY7">
        <v>14</v>
      </c>
      <c r="ABZ7">
        <v>14</v>
      </c>
      <c r="ACA7">
        <v>14</v>
      </c>
      <c r="ACB7">
        <v>14</v>
      </c>
      <c r="ACC7">
        <v>14</v>
      </c>
      <c r="ACD7">
        <v>14</v>
      </c>
      <c r="ACE7">
        <v>14</v>
      </c>
      <c r="ACF7">
        <v>14</v>
      </c>
      <c r="ACG7">
        <v>0</v>
      </c>
      <c r="ACH7">
        <v>0</v>
      </c>
      <c r="ACI7">
        <v>14</v>
      </c>
      <c r="ACJ7">
        <v>14</v>
      </c>
      <c r="ACK7">
        <v>14</v>
      </c>
      <c r="ACL7">
        <v>14</v>
      </c>
      <c r="ACM7">
        <v>14</v>
      </c>
      <c r="ACN7">
        <v>14</v>
      </c>
      <c r="ACO7">
        <v>14</v>
      </c>
      <c r="ACP7">
        <v>14</v>
      </c>
      <c r="ACQ7">
        <v>14</v>
      </c>
      <c r="ACR7">
        <v>0</v>
      </c>
      <c r="ACS7">
        <v>0</v>
      </c>
      <c r="ACT7">
        <v>14</v>
      </c>
      <c r="ACU7">
        <v>14</v>
      </c>
      <c r="ACV7">
        <v>14</v>
      </c>
      <c r="ACW7">
        <v>14</v>
      </c>
      <c r="ACX7">
        <v>14</v>
      </c>
      <c r="ACY7">
        <v>14</v>
      </c>
      <c r="ACZ7">
        <v>14</v>
      </c>
      <c r="ADA7">
        <v>14</v>
      </c>
      <c r="ADB7">
        <v>14</v>
      </c>
      <c r="ADC7">
        <v>0</v>
      </c>
      <c r="ADD7">
        <v>0</v>
      </c>
      <c r="ADE7">
        <v>14</v>
      </c>
      <c r="ADF7">
        <v>14</v>
      </c>
      <c r="ADG7">
        <v>14</v>
      </c>
      <c r="ADH7">
        <v>14</v>
      </c>
      <c r="ADI7">
        <v>14</v>
      </c>
      <c r="ADJ7">
        <v>14</v>
      </c>
      <c r="ADK7">
        <v>14</v>
      </c>
      <c r="ADL7">
        <v>14</v>
      </c>
      <c r="ADM7">
        <v>14</v>
      </c>
      <c r="ADN7">
        <v>0</v>
      </c>
      <c r="ADO7">
        <v>0</v>
      </c>
      <c r="ADP7">
        <v>14</v>
      </c>
      <c r="ADQ7">
        <v>14</v>
      </c>
      <c r="ADR7">
        <v>14</v>
      </c>
      <c r="ADS7">
        <v>14</v>
      </c>
      <c r="ADT7">
        <v>14</v>
      </c>
      <c r="ADU7">
        <v>14</v>
      </c>
      <c r="ADV7">
        <v>14</v>
      </c>
      <c r="ADW7">
        <v>14</v>
      </c>
      <c r="ADX7">
        <v>14</v>
      </c>
      <c r="ADY7">
        <v>0</v>
      </c>
      <c r="ADZ7">
        <v>0</v>
      </c>
      <c r="AEA7">
        <v>14</v>
      </c>
      <c r="AEB7">
        <v>14</v>
      </c>
      <c r="AEC7">
        <v>14</v>
      </c>
      <c r="AED7">
        <v>14</v>
      </c>
      <c r="AEE7">
        <v>14</v>
      </c>
      <c r="AEF7">
        <v>14</v>
      </c>
      <c r="AEG7">
        <v>14</v>
      </c>
      <c r="AEH7">
        <v>14</v>
      </c>
      <c r="AEI7">
        <v>14</v>
      </c>
      <c r="AEJ7">
        <v>0</v>
      </c>
      <c r="AEK7">
        <v>0</v>
      </c>
      <c r="AEL7">
        <v>14</v>
      </c>
      <c r="AEM7">
        <v>14</v>
      </c>
      <c r="AEN7">
        <v>14</v>
      </c>
      <c r="AEO7">
        <v>14</v>
      </c>
      <c r="AEP7">
        <v>14</v>
      </c>
      <c r="AEQ7">
        <v>14</v>
      </c>
      <c r="AER7">
        <v>14</v>
      </c>
      <c r="AES7">
        <v>14</v>
      </c>
      <c r="AET7">
        <v>14</v>
      </c>
      <c r="AEU7">
        <v>0</v>
      </c>
      <c r="AEV7">
        <v>0</v>
      </c>
      <c r="AEW7">
        <v>14</v>
      </c>
      <c r="AEX7">
        <v>14</v>
      </c>
      <c r="AEY7">
        <v>14</v>
      </c>
      <c r="AEZ7">
        <v>14</v>
      </c>
      <c r="AFA7">
        <v>14</v>
      </c>
      <c r="AFB7">
        <v>14</v>
      </c>
      <c r="AFC7">
        <v>14</v>
      </c>
      <c r="AFD7">
        <v>14</v>
      </c>
      <c r="AFE7">
        <v>14</v>
      </c>
      <c r="AFF7">
        <v>0</v>
      </c>
      <c r="AFG7">
        <v>0</v>
      </c>
      <c r="AFH7">
        <v>14</v>
      </c>
      <c r="AFI7">
        <v>14</v>
      </c>
      <c r="AFJ7">
        <v>14</v>
      </c>
      <c r="AFK7">
        <v>14</v>
      </c>
      <c r="AFL7">
        <v>14</v>
      </c>
      <c r="AFM7">
        <v>14</v>
      </c>
      <c r="AFN7">
        <v>14</v>
      </c>
      <c r="AFO7">
        <v>14</v>
      </c>
      <c r="AFP7">
        <v>14</v>
      </c>
      <c r="AFQ7">
        <v>0</v>
      </c>
      <c r="AFR7">
        <v>0</v>
      </c>
      <c r="AFS7">
        <v>14</v>
      </c>
      <c r="AFT7">
        <v>14</v>
      </c>
      <c r="AFU7">
        <v>14</v>
      </c>
      <c r="AFV7">
        <v>14</v>
      </c>
      <c r="AFW7">
        <v>14</v>
      </c>
      <c r="AFX7">
        <v>14</v>
      </c>
      <c r="AFY7">
        <v>14</v>
      </c>
      <c r="AFZ7">
        <v>14</v>
      </c>
      <c r="AGA7">
        <v>14</v>
      </c>
      <c r="AGB7">
        <v>0</v>
      </c>
      <c r="AGC7">
        <v>0</v>
      </c>
      <c r="AGD7">
        <v>14</v>
      </c>
      <c r="AGE7">
        <v>14</v>
      </c>
      <c r="AGF7">
        <v>14</v>
      </c>
      <c r="AGG7">
        <v>14</v>
      </c>
      <c r="AGH7">
        <v>14</v>
      </c>
      <c r="AGI7">
        <v>14</v>
      </c>
      <c r="AGJ7">
        <v>14</v>
      </c>
      <c r="AGK7">
        <v>14</v>
      </c>
      <c r="AGL7">
        <v>14</v>
      </c>
      <c r="AGM7">
        <v>0</v>
      </c>
      <c r="AGN7">
        <v>0</v>
      </c>
      <c r="AGO7">
        <v>14</v>
      </c>
      <c r="AGP7">
        <v>14</v>
      </c>
      <c r="AGQ7">
        <v>14</v>
      </c>
      <c r="AGR7">
        <v>14</v>
      </c>
      <c r="AGS7">
        <v>14</v>
      </c>
      <c r="AGT7">
        <v>14</v>
      </c>
      <c r="AGU7">
        <v>14</v>
      </c>
      <c r="AGV7">
        <v>14</v>
      </c>
      <c r="AGW7">
        <v>14</v>
      </c>
      <c r="AGX7">
        <v>0</v>
      </c>
      <c r="AGY7">
        <v>0</v>
      </c>
      <c r="AGZ7">
        <v>14</v>
      </c>
      <c r="AHA7">
        <v>14</v>
      </c>
      <c r="AHB7">
        <v>14</v>
      </c>
      <c r="AHC7">
        <v>14</v>
      </c>
      <c r="AHD7">
        <v>14</v>
      </c>
      <c r="AHE7">
        <v>14</v>
      </c>
      <c r="AHF7">
        <v>14</v>
      </c>
      <c r="AHG7">
        <v>14</v>
      </c>
      <c r="AHH7">
        <v>14</v>
      </c>
      <c r="AHI7">
        <v>0</v>
      </c>
      <c r="AHJ7">
        <v>0</v>
      </c>
      <c r="AHK7">
        <v>14</v>
      </c>
      <c r="AHL7">
        <v>14</v>
      </c>
      <c r="AHM7">
        <v>14</v>
      </c>
      <c r="AHN7">
        <v>14</v>
      </c>
      <c r="AHO7">
        <v>14</v>
      </c>
      <c r="AHP7">
        <v>14</v>
      </c>
      <c r="AHQ7">
        <v>14</v>
      </c>
      <c r="AHR7">
        <v>14</v>
      </c>
      <c r="AHS7">
        <v>14</v>
      </c>
      <c r="AHT7">
        <v>0</v>
      </c>
      <c r="AHU7">
        <v>0</v>
      </c>
      <c r="AHV7">
        <v>14</v>
      </c>
      <c r="AHW7">
        <v>14</v>
      </c>
      <c r="AHX7">
        <v>14</v>
      </c>
      <c r="AHY7">
        <v>14</v>
      </c>
      <c r="AHZ7">
        <v>14</v>
      </c>
      <c r="AIA7">
        <v>14</v>
      </c>
      <c r="AIB7">
        <v>14</v>
      </c>
      <c r="AIC7">
        <v>14</v>
      </c>
      <c r="AID7">
        <v>14</v>
      </c>
      <c r="AIE7">
        <v>0</v>
      </c>
      <c r="AIF7">
        <v>0</v>
      </c>
      <c r="AIG7">
        <v>14</v>
      </c>
      <c r="AIH7">
        <v>14</v>
      </c>
      <c r="AII7">
        <v>14</v>
      </c>
      <c r="AIJ7">
        <v>14</v>
      </c>
      <c r="AIK7">
        <v>14</v>
      </c>
      <c r="AIL7">
        <v>14</v>
      </c>
      <c r="AIM7">
        <v>14</v>
      </c>
      <c r="AIN7">
        <v>14</v>
      </c>
      <c r="AIO7">
        <v>14</v>
      </c>
      <c r="AIP7">
        <v>0</v>
      </c>
      <c r="AIQ7">
        <v>0</v>
      </c>
      <c r="AIR7">
        <v>14</v>
      </c>
      <c r="AIS7">
        <v>14</v>
      </c>
      <c r="AIT7">
        <v>14</v>
      </c>
      <c r="AIU7">
        <v>14</v>
      </c>
      <c r="AIV7">
        <v>14</v>
      </c>
      <c r="AIW7">
        <v>14</v>
      </c>
      <c r="AIX7">
        <v>14</v>
      </c>
      <c r="AIY7">
        <v>14</v>
      </c>
      <c r="AIZ7">
        <v>14</v>
      </c>
      <c r="AJA7">
        <v>0</v>
      </c>
      <c r="AJB7">
        <v>0</v>
      </c>
      <c r="AJC7">
        <v>14</v>
      </c>
      <c r="AJD7">
        <v>14</v>
      </c>
      <c r="AJE7">
        <v>14</v>
      </c>
      <c r="AJF7">
        <v>14</v>
      </c>
      <c r="AJG7">
        <v>14</v>
      </c>
      <c r="AJH7">
        <v>14</v>
      </c>
      <c r="AJI7">
        <v>14</v>
      </c>
      <c r="AJJ7">
        <v>14</v>
      </c>
      <c r="AJK7">
        <v>14</v>
      </c>
      <c r="AJL7">
        <v>0</v>
      </c>
      <c r="AJM7">
        <v>0</v>
      </c>
      <c r="AJN7">
        <v>14</v>
      </c>
      <c r="AJO7">
        <v>14</v>
      </c>
      <c r="AJP7">
        <v>14</v>
      </c>
      <c r="AJQ7">
        <v>14</v>
      </c>
      <c r="AJR7">
        <v>14</v>
      </c>
      <c r="AJS7">
        <v>14</v>
      </c>
      <c r="AJT7">
        <v>14</v>
      </c>
      <c r="AJU7">
        <v>14</v>
      </c>
      <c r="AJV7">
        <v>14</v>
      </c>
      <c r="AJW7">
        <v>0</v>
      </c>
      <c r="AJX7">
        <v>0</v>
      </c>
      <c r="AJY7">
        <v>14</v>
      </c>
      <c r="AJZ7">
        <v>14</v>
      </c>
      <c r="AKA7">
        <v>14</v>
      </c>
      <c r="AKB7">
        <v>14</v>
      </c>
      <c r="AKC7">
        <v>14</v>
      </c>
      <c r="AKD7">
        <v>14</v>
      </c>
      <c r="AKE7">
        <v>14</v>
      </c>
      <c r="AKF7">
        <v>14</v>
      </c>
      <c r="AKG7">
        <v>14</v>
      </c>
      <c r="AKH7">
        <v>0</v>
      </c>
      <c r="AKI7">
        <v>0</v>
      </c>
      <c r="AKJ7">
        <v>14</v>
      </c>
      <c r="AKK7">
        <v>14</v>
      </c>
      <c r="AKL7">
        <v>14</v>
      </c>
      <c r="AKM7">
        <v>14</v>
      </c>
      <c r="AKN7">
        <v>14</v>
      </c>
      <c r="AKO7">
        <v>14</v>
      </c>
      <c r="AKP7">
        <v>14</v>
      </c>
      <c r="AKQ7">
        <v>14</v>
      </c>
      <c r="AKR7">
        <v>14</v>
      </c>
      <c r="AKS7">
        <v>0</v>
      </c>
      <c r="AKT7">
        <v>0</v>
      </c>
      <c r="AKU7">
        <v>14</v>
      </c>
      <c r="AKV7">
        <v>14</v>
      </c>
      <c r="AKW7">
        <v>14</v>
      </c>
      <c r="AKX7">
        <v>14</v>
      </c>
      <c r="AKY7">
        <v>14</v>
      </c>
      <c r="AKZ7">
        <v>14</v>
      </c>
      <c r="ALA7">
        <v>14</v>
      </c>
      <c r="ALB7">
        <v>14</v>
      </c>
      <c r="ALC7">
        <v>14</v>
      </c>
      <c r="ALD7">
        <v>0</v>
      </c>
      <c r="ALE7">
        <v>0</v>
      </c>
      <c r="ALF7">
        <v>14</v>
      </c>
      <c r="ALG7">
        <v>14</v>
      </c>
      <c r="ALH7">
        <v>14</v>
      </c>
      <c r="ALI7">
        <v>14</v>
      </c>
      <c r="ALJ7">
        <v>14</v>
      </c>
      <c r="ALK7">
        <v>14</v>
      </c>
      <c r="ALL7">
        <v>14</v>
      </c>
      <c r="ALM7">
        <v>14</v>
      </c>
      <c r="ALN7">
        <v>14</v>
      </c>
      <c r="ALO7">
        <v>0</v>
      </c>
      <c r="ALP7">
        <v>0</v>
      </c>
      <c r="ALQ7">
        <v>14</v>
      </c>
      <c r="ALR7">
        <v>14</v>
      </c>
      <c r="ALS7">
        <v>14</v>
      </c>
      <c r="ALT7">
        <v>14</v>
      </c>
      <c r="ALU7">
        <v>14</v>
      </c>
      <c r="ALV7">
        <v>14</v>
      </c>
      <c r="ALW7">
        <v>14</v>
      </c>
      <c r="ALX7">
        <v>14</v>
      </c>
      <c r="ALY7">
        <v>14</v>
      </c>
      <c r="ALZ7">
        <v>0</v>
      </c>
      <c r="AMA7">
        <v>0</v>
      </c>
      <c r="AMB7">
        <v>14</v>
      </c>
      <c r="AMC7">
        <v>14</v>
      </c>
      <c r="AMD7">
        <v>14</v>
      </c>
      <c r="AME7">
        <v>14</v>
      </c>
      <c r="AMF7">
        <v>14</v>
      </c>
      <c r="AMG7">
        <v>14</v>
      </c>
      <c r="AMH7">
        <v>14</v>
      </c>
      <c r="AMI7">
        <v>14</v>
      </c>
      <c r="AMJ7">
        <v>14</v>
      </c>
      <c r="AMK7">
        <v>0</v>
      </c>
      <c r="AML7">
        <v>0</v>
      </c>
      <c r="AMM7">
        <v>14</v>
      </c>
      <c r="AMN7">
        <v>14</v>
      </c>
      <c r="AMO7">
        <v>14</v>
      </c>
      <c r="AMP7">
        <v>14</v>
      </c>
      <c r="AMQ7">
        <v>14</v>
      </c>
      <c r="AMR7">
        <v>14</v>
      </c>
      <c r="AMS7">
        <v>14</v>
      </c>
      <c r="AMT7">
        <v>14</v>
      </c>
      <c r="AMU7">
        <v>14</v>
      </c>
      <c r="AMV7">
        <v>0</v>
      </c>
      <c r="AMW7">
        <v>0</v>
      </c>
      <c r="AMX7">
        <v>14</v>
      </c>
      <c r="AMY7">
        <v>14</v>
      </c>
      <c r="AMZ7">
        <v>14</v>
      </c>
      <c r="ANA7">
        <v>14</v>
      </c>
      <c r="ANB7">
        <v>14</v>
      </c>
      <c r="ANC7">
        <v>14</v>
      </c>
      <c r="AND7">
        <v>14</v>
      </c>
      <c r="ANE7">
        <v>14</v>
      </c>
      <c r="ANF7">
        <v>14</v>
      </c>
      <c r="ANG7">
        <v>0</v>
      </c>
      <c r="ANH7">
        <v>0</v>
      </c>
      <c r="ANI7">
        <v>14</v>
      </c>
      <c r="ANJ7">
        <v>14</v>
      </c>
      <c r="ANK7">
        <v>14</v>
      </c>
      <c r="ANL7">
        <v>14</v>
      </c>
      <c r="ANM7">
        <v>14</v>
      </c>
      <c r="ANN7">
        <v>14</v>
      </c>
      <c r="ANO7">
        <v>14</v>
      </c>
      <c r="ANP7">
        <v>14</v>
      </c>
      <c r="ANQ7">
        <v>14</v>
      </c>
      <c r="ANR7">
        <v>0</v>
      </c>
      <c r="ANS7">
        <v>0</v>
      </c>
      <c r="ANT7">
        <v>14</v>
      </c>
      <c r="ANU7">
        <v>14</v>
      </c>
      <c r="ANV7">
        <v>14</v>
      </c>
      <c r="ANW7">
        <v>14</v>
      </c>
      <c r="ANX7">
        <v>14</v>
      </c>
      <c r="ANY7">
        <v>14</v>
      </c>
      <c r="ANZ7">
        <v>14</v>
      </c>
      <c r="AOA7">
        <v>14</v>
      </c>
      <c r="AOB7">
        <v>14</v>
      </c>
      <c r="AOC7">
        <v>0</v>
      </c>
      <c r="AOD7">
        <v>0</v>
      </c>
      <c r="AOE7">
        <v>14</v>
      </c>
      <c r="AOF7">
        <v>14</v>
      </c>
      <c r="AOG7">
        <v>14</v>
      </c>
      <c r="AOH7">
        <v>14</v>
      </c>
      <c r="AOI7">
        <v>14</v>
      </c>
      <c r="AOJ7">
        <v>14</v>
      </c>
      <c r="AOK7">
        <v>14</v>
      </c>
      <c r="AOL7">
        <v>14</v>
      </c>
      <c r="AOM7">
        <v>14</v>
      </c>
      <c r="AON7">
        <v>0</v>
      </c>
      <c r="AOO7">
        <v>0</v>
      </c>
      <c r="AOP7">
        <v>14</v>
      </c>
      <c r="AOQ7">
        <v>14</v>
      </c>
      <c r="AOR7">
        <v>14</v>
      </c>
      <c r="AOS7">
        <v>14</v>
      </c>
      <c r="AOT7">
        <v>14</v>
      </c>
      <c r="AOU7">
        <v>14</v>
      </c>
      <c r="AOV7">
        <v>14</v>
      </c>
      <c r="AOW7">
        <v>14</v>
      </c>
      <c r="AOX7">
        <v>14</v>
      </c>
      <c r="AOY7">
        <v>0</v>
      </c>
      <c r="AOZ7">
        <v>0</v>
      </c>
      <c r="APA7">
        <v>14</v>
      </c>
      <c r="APB7">
        <v>14</v>
      </c>
      <c r="APC7">
        <v>14</v>
      </c>
      <c r="APD7">
        <v>14</v>
      </c>
      <c r="APE7">
        <v>14</v>
      </c>
      <c r="APF7">
        <v>14</v>
      </c>
      <c r="APG7">
        <v>14</v>
      </c>
      <c r="APH7">
        <v>14</v>
      </c>
      <c r="API7">
        <v>14</v>
      </c>
      <c r="APJ7">
        <v>0</v>
      </c>
      <c r="APK7">
        <v>0</v>
      </c>
      <c r="APL7">
        <v>14</v>
      </c>
      <c r="APM7">
        <v>14</v>
      </c>
      <c r="APN7">
        <v>14</v>
      </c>
      <c r="APO7">
        <v>14</v>
      </c>
      <c r="APP7">
        <v>14</v>
      </c>
      <c r="APQ7">
        <v>14</v>
      </c>
      <c r="APR7">
        <v>14</v>
      </c>
      <c r="APS7">
        <v>14</v>
      </c>
      <c r="APT7">
        <v>14</v>
      </c>
      <c r="APU7">
        <v>0</v>
      </c>
      <c r="APV7">
        <v>0</v>
      </c>
      <c r="APW7">
        <v>14</v>
      </c>
      <c r="APX7">
        <v>14</v>
      </c>
      <c r="APY7">
        <v>14</v>
      </c>
      <c r="APZ7">
        <v>14</v>
      </c>
      <c r="AQA7">
        <v>14</v>
      </c>
      <c r="AQB7">
        <v>14</v>
      </c>
      <c r="AQC7">
        <v>14</v>
      </c>
      <c r="AQD7">
        <v>14</v>
      </c>
      <c r="AQE7">
        <v>14</v>
      </c>
      <c r="AQF7">
        <v>0</v>
      </c>
      <c r="AQG7">
        <v>0</v>
      </c>
      <c r="AQH7">
        <v>14</v>
      </c>
      <c r="AQI7">
        <v>14</v>
      </c>
      <c r="AQJ7">
        <v>14</v>
      </c>
      <c r="AQK7">
        <v>14</v>
      </c>
      <c r="AQL7">
        <v>14</v>
      </c>
      <c r="AQM7">
        <v>14</v>
      </c>
      <c r="AQN7">
        <v>14</v>
      </c>
      <c r="AQO7">
        <v>14</v>
      </c>
      <c r="AQP7">
        <v>14</v>
      </c>
      <c r="AQQ7">
        <v>0</v>
      </c>
      <c r="AQR7">
        <v>0</v>
      </c>
      <c r="AQS7">
        <v>14</v>
      </c>
      <c r="AQT7">
        <v>14</v>
      </c>
      <c r="AQU7">
        <v>14</v>
      </c>
      <c r="AQV7">
        <v>14</v>
      </c>
      <c r="AQW7">
        <v>14</v>
      </c>
      <c r="AQX7">
        <v>14</v>
      </c>
      <c r="AQY7">
        <v>14</v>
      </c>
      <c r="AQZ7">
        <v>14</v>
      </c>
      <c r="ARA7">
        <v>14</v>
      </c>
      <c r="ARB7">
        <v>0</v>
      </c>
      <c r="ARC7">
        <v>0</v>
      </c>
      <c r="ARD7">
        <v>14</v>
      </c>
      <c r="ARE7">
        <v>14</v>
      </c>
      <c r="ARF7">
        <v>14</v>
      </c>
      <c r="ARG7">
        <v>14</v>
      </c>
      <c r="ARH7">
        <v>14</v>
      </c>
      <c r="ARI7">
        <v>14</v>
      </c>
      <c r="ARJ7">
        <v>14</v>
      </c>
      <c r="ARK7">
        <v>14</v>
      </c>
      <c r="ARL7">
        <v>14</v>
      </c>
      <c r="ARM7">
        <v>0</v>
      </c>
      <c r="ARN7">
        <v>0</v>
      </c>
      <c r="ARO7">
        <v>14</v>
      </c>
      <c r="ARP7">
        <v>14</v>
      </c>
      <c r="ARQ7">
        <v>14</v>
      </c>
      <c r="ARR7">
        <v>14</v>
      </c>
      <c r="ARS7">
        <v>14</v>
      </c>
      <c r="ART7">
        <v>14</v>
      </c>
      <c r="ARU7">
        <v>14</v>
      </c>
      <c r="ARV7">
        <v>14</v>
      </c>
      <c r="ARW7">
        <v>14</v>
      </c>
      <c r="ARX7">
        <v>0</v>
      </c>
      <c r="ARY7">
        <v>0</v>
      </c>
      <c r="ARZ7">
        <v>14</v>
      </c>
      <c r="ASA7">
        <v>14</v>
      </c>
      <c r="ASB7">
        <v>14</v>
      </c>
      <c r="ASC7">
        <v>14</v>
      </c>
      <c r="ASD7">
        <v>14</v>
      </c>
      <c r="ASE7">
        <v>14</v>
      </c>
      <c r="ASF7">
        <v>14</v>
      </c>
      <c r="ASG7">
        <v>14</v>
      </c>
      <c r="ASH7">
        <v>14</v>
      </c>
      <c r="ASI7">
        <v>0</v>
      </c>
      <c r="ASJ7">
        <v>0</v>
      </c>
      <c r="ASK7">
        <v>14</v>
      </c>
      <c r="ASL7">
        <v>14</v>
      </c>
      <c r="ASM7">
        <v>14</v>
      </c>
      <c r="ASN7">
        <v>14</v>
      </c>
      <c r="ASO7">
        <v>14</v>
      </c>
      <c r="ASP7">
        <v>14</v>
      </c>
      <c r="ASQ7">
        <v>14</v>
      </c>
      <c r="ASR7">
        <v>14</v>
      </c>
      <c r="ASS7">
        <v>14</v>
      </c>
      <c r="AST7">
        <v>0</v>
      </c>
      <c r="ASU7">
        <v>0</v>
      </c>
      <c r="ASV7">
        <v>14</v>
      </c>
      <c r="ASW7">
        <v>14</v>
      </c>
      <c r="ASX7">
        <v>14</v>
      </c>
      <c r="ASY7">
        <v>14</v>
      </c>
      <c r="ASZ7">
        <v>14</v>
      </c>
      <c r="ATA7">
        <v>14</v>
      </c>
      <c r="ATB7">
        <v>14</v>
      </c>
      <c r="ATC7">
        <v>14</v>
      </c>
      <c r="ATD7">
        <v>14</v>
      </c>
      <c r="ATE7">
        <v>0</v>
      </c>
      <c r="ATF7">
        <v>0</v>
      </c>
      <c r="ATG7">
        <v>14</v>
      </c>
      <c r="ATH7">
        <v>14</v>
      </c>
      <c r="ATI7">
        <v>14</v>
      </c>
      <c r="ATJ7">
        <v>14</v>
      </c>
      <c r="ATK7">
        <v>14</v>
      </c>
      <c r="ATL7">
        <v>14</v>
      </c>
      <c r="ATM7">
        <v>14</v>
      </c>
      <c r="ATN7">
        <v>14</v>
      </c>
      <c r="ATO7">
        <v>14</v>
      </c>
      <c r="ATP7">
        <v>0</v>
      </c>
      <c r="ATQ7">
        <v>0</v>
      </c>
      <c r="ATR7">
        <v>14</v>
      </c>
      <c r="ATS7">
        <v>14</v>
      </c>
      <c r="ATT7">
        <v>14</v>
      </c>
      <c r="ATU7">
        <v>14</v>
      </c>
      <c r="ATV7">
        <v>14</v>
      </c>
      <c r="ATW7">
        <v>14</v>
      </c>
      <c r="ATX7">
        <v>14</v>
      </c>
      <c r="ATY7">
        <v>14</v>
      </c>
      <c r="ATZ7">
        <v>14</v>
      </c>
      <c r="AUA7">
        <v>0</v>
      </c>
      <c r="AUB7">
        <v>0</v>
      </c>
      <c r="AUC7">
        <v>14</v>
      </c>
      <c r="AUD7">
        <v>14</v>
      </c>
      <c r="AUE7">
        <v>14</v>
      </c>
      <c r="AUF7">
        <v>14</v>
      </c>
      <c r="AUG7">
        <v>14</v>
      </c>
      <c r="AUH7">
        <v>14</v>
      </c>
      <c r="AUI7">
        <v>14</v>
      </c>
      <c r="AUJ7">
        <v>14</v>
      </c>
      <c r="AUK7">
        <v>14</v>
      </c>
      <c r="AUL7">
        <v>0</v>
      </c>
      <c r="AUM7">
        <v>0</v>
      </c>
      <c r="AUN7">
        <v>14</v>
      </c>
      <c r="AUO7">
        <v>14</v>
      </c>
      <c r="AUP7">
        <v>14</v>
      </c>
      <c r="AUQ7">
        <v>14</v>
      </c>
      <c r="AUR7">
        <v>14</v>
      </c>
      <c r="AUS7">
        <v>14</v>
      </c>
      <c r="AUT7">
        <v>14</v>
      </c>
      <c r="AUU7">
        <v>14</v>
      </c>
      <c r="AUV7">
        <v>14</v>
      </c>
      <c r="AUW7">
        <v>0</v>
      </c>
      <c r="AUX7">
        <v>0</v>
      </c>
      <c r="AUY7">
        <v>14</v>
      </c>
      <c r="AUZ7">
        <v>14</v>
      </c>
      <c r="AVA7">
        <v>14</v>
      </c>
      <c r="AVB7">
        <v>14</v>
      </c>
      <c r="AVC7">
        <v>14</v>
      </c>
      <c r="AVD7">
        <v>14</v>
      </c>
      <c r="AVE7">
        <v>14</v>
      </c>
      <c r="AVF7">
        <v>14</v>
      </c>
      <c r="AVG7">
        <v>14</v>
      </c>
      <c r="AVH7">
        <v>0</v>
      </c>
      <c r="AVI7">
        <v>0</v>
      </c>
      <c r="AVJ7">
        <v>14</v>
      </c>
      <c r="AVK7">
        <v>14</v>
      </c>
      <c r="AVL7">
        <v>14</v>
      </c>
      <c r="AVM7">
        <v>14</v>
      </c>
      <c r="AVN7">
        <v>14</v>
      </c>
      <c r="AVO7">
        <v>14</v>
      </c>
      <c r="AVP7">
        <v>14</v>
      </c>
      <c r="AVQ7">
        <v>14</v>
      </c>
      <c r="AVR7">
        <v>14</v>
      </c>
      <c r="AVS7">
        <v>0</v>
      </c>
      <c r="AVT7">
        <v>0</v>
      </c>
      <c r="AVU7">
        <v>14</v>
      </c>
      <c r="AVV7">
        <v>14</v>
      </c>
      <c r="AVW7">
        <v>14</v>
      </c>
      <c r="AVX7">
        <v>14</v>
      </c>
      <c r="AVY7">
        <v>14</v>
      </c>
      <c r="AVZ7">
        <v>14</v>
      </c>
      <c r="AWA7">
        <v>14</v>
      </c>
      <c r="AWB7">
        <v>14</v>
      </c>
      <c r="AWC7">
        <v>14</v>
      </c>
      <c r="AWD7">
        <v>0</v>
      </c>
      <c r="AWE7">
        <v>0</v>
      </c>
      <c r="AWF7">
        <v>14</v>
      </c>
      <c r="AWG7">
        <v>14</v>
      </c>
      <c r="AWH7">
        <v>14</v>
      </c>
      <c r="AWI7">
        <v>14</v>
      </c>
      <c r="AWJ7">
        <v>14</v>
      </c>
      <c r="AWK7">
        <v>14</v>
      </c>
      <c r="AWL7">
        <v>14</v>
      </c>
      <c r="AWM7">
        <v>14</v>
      </c>
      <c r="AWN7">
        <v>14</v>
      </c>
      <c r="AWO7">
        <v>0</v>
      </c>
      <c r="AWP7">
        <v>0</v>
      </c>
      <c r="AWQ7">
        <v>14</v>
      </c>
      <c r="AWR7">
        <v>14</v>
      </c>
      <c r="AWS7">
        <v>14</v>
      </c>
      <c r="AWT7">
        <v>14</v>
      </c>
      <c r="AWU7">
        <v>14</v>
      </c>
      <c r="AWV7">
        <v>14</v>
      </c>
      <c r="AWW7">
        <v>14</v>
      </c>
      <c r="AWX7">
        <v>14</v>
      </c>
      <c r="AWY7">
        <v>14</v>
      </c>
      <c r="AWZ7">
        <v>0</v>
      </c>
      <c r="AXA7">
        <v>0</v>
      </c>
      <c r="AXB7">
        <v>14</v>
      </c>
      <c r="AXC7">
        <v>14</v>
      </c>
      <c r="AXD7">
        <v>14</v>
      </c>
      <c r="AXE7">
        <v>14</v>
      </c>
      <c r="AXF7">
        <v>14</v>
      </c>
      <c r="AXG7">
        <v>14</v>
      </c>
      <c r="AXH7">
        <v>14</v>
      </c>
      <c r="AXI7">
        <v>14</v>
      </c>
      <c r="AXJ7">
        <v>14</v>
      </c>
      <c r="AXK7">
        <v>0</v>
      </c>
      <c r="AXL7">
        <v>0</v>
      </c>
      <c r="AXM7">
        <v>14</v>
      </c>
      <c r="AXN7">
        <v>14</v>
      </c>
      <c r="AXO7">
        <v>14</v>
      </c>
      <c r="AXP7">
        <v>14</v>
      </c>
      <c r="AXQ7">
        <v>14</v>
      </c>
      <c r="AXR7">
        <v>14</v>
      </c>
      <c r="AXS7">
        <v>14</v>
      </c>
      <c r="AXT7">
        <v>14</v>
      </c>
      <c r="AXU7">
        <v>14</v>
      </c>
      <c r="AXV7">
        <v>0</v>
      </c>
      <c r="AXW7">
        <v>0</v>
      </c>
      <c r="AXX7">
        <v>14</v>
      </c>
      <c r="AXY7">
        <v>14</v>
      </c>
      <c r="AXZ7">
        <v>14</v>
      </c>
      <c r="AYA7">
        <v>14</v>
      </c>
      <c r="AYB7">
        <v>14</v>
      </c>
      <c r="AYC7">
        <v>14</v>
      </c>
      <c r="AYD7">
        <v>14</v>
      </c>
      <c r="AYE7">
        <v>14</v>
      </c>
      <c r="AYF7">
        <v>14</v>
      </c>
      <c r="AYG7">
        <v>0</v>
      </c>
      <c r="AYH7">
        <v>0</v>
      </c>
      <c r="AYI7">
        <v>14</v>
      </c>
      <c r="AYJ7">
        <v>14</v>
      </c>
      <c r="AYK7">
        <v>14</v>
      </c>
      <c r="AYL7">
        <v>14</v>
      </c>
      <c r="AYM7">
        <v>14</v>
      </c>
      <c r="AYN7">
        <v>14</v>
      </c>
      <c r="AYO7">
        <v>14</v>
      </c>
      <c r="AYP7">
        <v>14</v>
      </c>
      <c r="AYQ7">
        <v>14</v>
      </c>
      <c r="AYR7">
        <v>0</v>
      </c>
      <c r="AYS7">
        <v>0</v>
      </c>
      <c r="AYT7">
        <v>14</v>
      </c>
      <c r="AYU7">
        <v>14</v>
      </c>
      <c r="AYV7">
        <v>14</v>
      </c>
      <c r="AYW7">
        <v>14</v>
      </c>
      <c r="AYX7">
        <v>14</v>
      </c>
      <c r="AYY7">
        <v>14</v>
      </c>
      <c r="AYZ7">
        <v>14</v>
      </c>
      <c r="AZA7">
        <v>14</v>
      </c>
      <c r="AZB7">
        <v>14</v>
      </c>
      <c r="AZC7">
        <v>0</v>
      </c>
      <c r="AZD7">
        <v>0</v>
      </c>
      <c r="AZE7">
        <v>14</v>
      </c>
      <c r="AZF7">
        <v>14</v>
      </c>
      <c r="AZG7">
        <v>14</v>
      </c>
      <c r="AZH7">
        <v>14</v>
      </c>
      <c r="AZI7">
        <v>14</v>
      </c>
      <c r="AZJ7">
        <v>14</v>
      </c>
      <c r="AZK7">
        <v>14</v>
      </c>
      <c r="AZL7">
        <v>14</v>
      </c>
      <c r="AZM7">
        <v>14</v>
      </c>
      <c r="AZN7">
        <v>0</v>
      </c>
      <c r="AZO7">
        <v>0</v>
      </c>
      <c r="AZP7">
        <v>14</v>
      </c>
      <c r="AZQ7">
        <v>14</v>
      </c>
      <c r="AZR7">
        <v>14</v>
      </c>
      <c r="AZS7">
        <v>14</v>
      </c>
      <c r="AZT7">
        <v>14</v>
      </c>
      <c r="AZU7">
        <v>14</v>
      </c>
      <c r="AZV7">
        <v>14</v>
      </c>
      <c r="AZW7">
        <v>14</v>
      </c>
      <c r="AZX7">
        <v>14</v>
      </c>
      <c r="AZY7">
        <v>0</v>
      </c>
      <c r="AZZ7">
        <v>0</v>
      </c>
      <c r="BAA7">
        <v>14</v>
      </c>
      <c r="BAB7">
        <v>14</v>
      </c>
      <c r="BAC7">
        <v>14</v>
      </c>
      <c r="BAD7">
        <v>14</v>
      </c>
      <c r="BAE7">
        <v>14</v>
      </c>
      <c r="BAF7">
        <v>14</v>
      </c>
      <c r="BAG7">
        <v>14</v>
      </c>
      <c r="BAH7">
        <v>14</v>
      </c>
      <c r="BAI7">
        <v>14</v>
      </c>
      <c r="BAJ7">
        <v>0</v>
      </c>
      <c r="BAK7">
        <v>0</v>
      </c>
      <c r="BAL7">
        <v>14</v>
      </c>
      <c r="BAM7">
        <v>14</v>
      </c>
      <c r="BAN7">
        <v>14</v>
      </c>
      <c r="BAO7">
        <v>14</v>
      </c>
      <c r="BAP7">
        <v>14</v>
      </c>
      <c r="BAQ7">
        <v>14</v>
      </c>
      <c r="BAR7">
        <v>14</v>
      </c>
      <c r="BAS7">
        <v>14</v>
      </c>
      <c r="BAT7">
        <v>14</v>
      </c>
      <c r="BAU7">
        <v>0</v>
      </c>
      <c r="BAV7">
        <v>0</v>
      </c>
      <c r="BAW7">
        <v>14</v>
      </c>
      <c r="BAX7">
        <v>14</v>
      </c>
      <c r="BAY7">
        <v>14</v>
      </c>
      <c r="BAZ7">
        <v>14</v>
      </c>
      <c r="BBA7">
        <v>14</v>
      </c>
      <c r="BBB7">
        <v>14</v>
      </c>
      <c r="BBC7">
        <v>14</v>
      </c>
      <c r="BBD7">
        <v>14</v>
      </c>
      <c r="BBE7">
        <v>14</v>
      </c>
      <c r="BBF7">
        <v>0</v>
      </c>
      <c r="BBG7">
        <v>0</v>
      </c>
      <c r="BBH7">
        <v>14</v>
      </c>
      <c r="BBI7">
        <v>14</v>
      </c>
      <c r="BBJ7">
        <v>14</v>
      </c>
      <c r="BBK7">
        <v>14</v>
      </c>
      <c r="BBL7">
        <v>14</v>
      </c>
      <c r="BBM7">
        <v>14</v>
      </c>
      <c r="BBN7">
        <v>14</v>
      </c>
      <c r="BBO7">
        <v>14</v>
      </c>
      <c r="BBP7">
        <v>14</v>
      </c>
      <c r="BBQ7">
        <v>0</v>
      </c>
      <c r="BBR7">
        <v>0</v>
      </c>
      <c r="BBS7">
        <v>14</v>
      </c>
      <c r="BBT7">
        <v>14</v>
      </c>
      <c r="BBU7">
        <v>14</v>
      </c>
      <c r="BBV7">
        <v>14</v>
      </c>
      <c r="BBW7">
        <v>14</v>
      </c>
      <c r="BBX7">
        <v>14</v>
      </c>
      <c r="BBY7">
        <v>14</v>
      </c>
      <c r="BBZ7">
        <v>14</v>
      </c>
      <c r="BCA7">
        <v>14</v>
      </c>
      <c r="BCB7">
        <v>0</v>
      </c>
      <c r="BCC7">
        <v>0</v>
      </c>
      <c r="BCD7">
        <v>14</v>
      </c>
      <c r="BCE7">
        <v>14</v>
      </c>
      <c r="BCF7">
        <v>14</v>
      </c>
      <c r="BCG7">
        <v>14</v>
      </c>
      <c r="BCH7">
        <v>14</v>
      </c>
      <c r="BCI7">
        <v>14</v>
      </c>
      <c r="BCJ7">
        <v>14</v>
      </c>
      <c r="BCK7">
        <v>14</v>
      </c>
      <c r="BCL7">
        <v>14</v>
      </c>
      <c r="BCM7">
        <v>0</v>
      </c>
      <c r="BCN7">
        <v>0</v>
      </c>
      <c r="BCO7">
        <v>14</v>
      </c>
      <c r="BCP7">
        <v>14</v>
      </c>
      <c r="BCQ7">
        <v>14</v>
      </c>
      <c r="BCR7">
        <v>14</v>
      </c>
      <c r="BCS7">
        <v>14</v>
      </c>
      <c r="BCT7">
        <v>14</v>
      </c>
      <c r="BCU7">
        <v>14</v>
      </c>
      <c r="BCV7">
        <v>14</v>
      </c>
      <c r="BCW7">
        <v>14</v>
      </c>
      <c r="BCX7">
        <v>0</v>
      </c>
      <c r="BCY7">
        <v>0</v>
      </c>
      <c r="BCZ7">
        <v>14</v>
      </c>
      <c r="BDA7">
        <v>14</v>
      </c>
      <c r="BDB7">
        <v>14</v>
      </c>
      <c r="BDC7">
        <v>14</v>
      </c>
      <c r="BDD7">
        <v>14</v>
      </c>
      <c r="BDE7">
        <v>14</v>
      </c>
      <c r="BDF7">
        <v>14</v>
      </c>
      <c r="BDG7">
        <v>14</v>
      </c>
      <c r="BDH7">
        <v>14</v>
      </c>
      <c r="BDI7">
        <v>0</v>
      </c>
      <c r="BDJ7">
        <v>0</v>
      </c>
      <c r="BDK7">
        <v>14</v>
      </c>
      <c r="BDL7">
        <v>14</v>
      </c>
      <c r="BDM7">
        <v>14</v>
      </c>
      <c r="BDN7">
        <v>14</v>
      </c>
      <c r="BDO7">
        <v>14</v>
      </c>
      <c r="BDP7">
        <v>14</v>
      </c>
      <c r="BDQ7">
        <v>14</v>
      </c>
      <c r="BDR7">
        <v>14</v>
      </c>
      <c r="BDS7">
        <v>14</v>
      </c>
      <c r="BDT7">
        <v>0</v>
      </c>
      <c r="BDU7">
        <v>0</v>
      </c>
      <c r="BDV7">
        <v>14</v>
      </c>
      <c r="BDW7">
        <v>14</v>
      </c>
      <c r="BDX7">
        <v>14</v>
      </c>
      <c r="BDY7">
        <v>14</v>
      </c>
      <c r="BDZ7">
        <v>14</v>
      </c>
      <c r="BEA7">
        <v>14</v>
      </c>
      <c r="BEB7">
        <v>14</v>
      </c>
      <c r="BEC7">
        <v>14</v>
      </c>
      <c r="BED7">
        <v>14</v>
      </c>
      <c r="BEE7">
        <v>0</v>
      </c>
      <c r="BEF7">
        <v>0</v>
      </c>
      <c r="BEG7">
        <v>14</v>
      </c>
      <c r="BEH7">
        <v>14</v>
      </c>
      <c r="BEI7">
        <v>14</v>
      </c>
      <c r="BEJ7">
        <v>14</v>
      </c>
      <c r="BEK7">
        <v>14</v>
      </c>
      <c r="BEL7">
        <v>14</v>
      </c>
      <c r="BEM7">
        <v>14</v>
      </c>
      <c r="BEN7">
        <v>14</v>
      </c>
      <c r="BEO7">
        <v>14</v>
      </c>
      <c r="BEP7">
        <v>0</v>
      </c>
      <c r="BEQ7">
        <v>0</v>
      </c>
      <c r="BER7">
        <v>14</v>
      </c>
      <c r="BES7">
        <v>14</v>
      </c>
      <c r="BET7">
        <v>14</v>
      </c>
      <c r="BEU7">
        <v>14</v>
      </c>
      <c r="BEV7">
        <v>14</v>
      </c>
      <c r="BEW7">
        <v>14</v>
      </c>
      <c r="BEX7">
        <v>14</v>
      </c>
      <c r="BEY7">
        <v>14</v>
      </c>
      <c r="BEZ7">
        <v>14</v>
      </c>
      <c r="BFA7">
        <v>0</v>
      </c>
      <c r="BFB7">
        <v>0</v>
      </c>
      <c r="BFC7">
        <v>14</v>
      </c>
      <c r="BFD7">
        <v>14</v>
      </c>
      <c r="BFE7">
        <v>14</v>
      </c>
      <c r="BFF7">
        <v>14</v>
      </c>
      <c r="BFG7">
        <v>14</v>
      </c>
      <c r="BFH7">
        <v>14</v>
      </c>
      <c r="BFI7">
        <v>14</v>
      </c>
      <c r="BFJ7">
        <v>14</v>
      </c>
      <c r="BFK7">
        <v>14</v>
      </c>
      <c r="BFL7">
        <v>0</v>
      </c>
      <c r="BFM7">
        <v>0</v>
      </c>
      <c r="BFN7">
        <v>14</v>
      </c>
      <c r="BFO7">
        <v>14</v>
      </c>
      <c r="BFP7">
        <v>14</v>
      </c>
      <c r="BFQ7">
        <v>14</v>
      </c>
      <c r="BFR7">
        <v>14</v>
      </c>
      <c r="BFS7">
        <v>14</v>
      </c>
      <c r="BFT7">
        <v>14</v>
      </c>
      <c r="BFU7">
        <v>14</v>
      </c>
      <c r="BFV7">
        <v>14</v>
      </c>
      <c r="BFW7">
        <v>0</v>
      </c>
      <c r="BFX7">
        <v>0</v>
      </c>
      <c r="BFY7">
        <v>14</v>
      </c>
      <c r="BFZ7">
        <v>14</v>
      </c>
      <c r="BGA7">
        <v>14</v>
      </c>
      <c r="BGB7">
        <v>14</v>
      </c>
      <c r="BGC7">
        <v>14</v>
      </c>
      <c r="BGD7">
        <v>14</v>
      </c>
      <c r="BGE7">
        <v>14</v>
      </c>
      <c r="BGF7">
        <v>14</v>
      </c>
      <c r="BGG7">
        <v>14</v>
      </c>
      <c r="BGH7">
        <v>0</v>
      </c>
      <c r="BGI7">
        <v>0</v>
      </c>
      <c r="BGJ7">
        <v>14</v>
      </c>
      <c r="BGK7">
        <v>14</v>
      </c>
      <c r="BGL7">
        <v>14</v>
      </c>
      <c r="BGM7">
        <v>14</v>
      </c>
      <c r="BGN7">
        <v>14</v>
      </c>
      <c r="BGO7">
        <v>14</v>
      </c>
      <c r="BGP7">
        <v>14</v>
      </c>
      <c r="BGQ7">
        <v>14</v>
      </c>
      <c r="BGR7">
        <v>14</v>
      </c>
      <c r="BGS7">
        <v>0</v>
      </c>
      <c r="BGT7">
        <v>0</v>
      </c>
      <c r="BGU7">
        <v>14</v>
      </c>
      <c r="BGV7">
        <v>14</v>
      </c>
      <c r="BGW7">
        <v>14</v>
      </c>
      <c r="BGX7">
        <v>14</v>
      </c>
      <c r="BGY7">
        <v>14</v>
      </c>
      <c r="BGZ7">
        <v>14</v>
      </c>
      <c r="BHA7">
        <v>14</v>
      </c>
      <c r="BHB7">
        <v>14</v>
      </c>
      <c r="BHC7">
        <v>14</v>
      </c>
      <c r="BHD7">
        <v>0</v>
      </c>
      <c r="BHE7">
        <v>0</v>
      </c>
      <c r="BHF7">
        <v>14</v>
      </c>
      <c r="BHG7">
        <v>14</v>
      </c>
      <c r="BHH7">
        <v>14</v>
      </c>
      <c r="BHI7">
        <v>14</v>
      </c>
      <c r="BHJ7">
        <v>14</v>
      </c>
      <c r="BHK7">
        <v>14</v>
      </c>
      <c r="BHL7">
        <v>14</v>
      </c>
      <c r="BHM7">
        <v>14</v>
      </c>
      <c r="BHN7">
        <v>14</v>
      </c>
      <c r="BHO7">
        <v>0</v>
      </c>
      <c r="BHP7">
        <v>0</v>
      </c>
      <c r="BHQ7">
        <v>14</v>
      </c>
      <c r="BHR7">
        <v>14</v>
      </c>
      <c r="BHS7">
        <v>14</v>
      </c>
      <c r="BHT7">
        <v>14</v>
      </c>
      <c r="BHU7">
        <v>14</v>
      </c>
      <c r="BHV7">
        <v>14</v>
      </c>
      <c r="BHW7">
        <v>14</v>
      </c>
      <c r="BHX7">
        <v>14</v>
      </c>
      <c r="BHY7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6:I6"/>
  <sheetViews>
    <sheetView workbookViewId="0">
      <selection activeCell="E46" sqref="E46"/>
    </sheetView>
  </sheetViews>
  <sheetFormatPr defaultRowHeight="14.4" x14ac:dyDescent="0.3"/>
  <sheetData>
    <row r="6" spans="1:9" x14ac:dyDescent="0.3">
      <c r="A6" s="23" t="s">
        <v>10</v>
      </c>
      <c r="B6" s="23" t="s">
        <v>13</v>
      </c>
      <c r="C6" s="23" t="s">
        <v>16</v>
      </c>
      <c r="D6" s="23" t="s">
        <v>19</v>
      </c>
      <c r="E6" s="23" t="s">
        <v>22</v>
      </c>
      <c r="F6" s="23" t="s">
        <v>25</v>
      </c>
      <c r="G6" s="24" t="s">
        <v>200</v>
      </c>
      <c r="H6" s="24" t="s">
        <v>201</v>
      </c>
      <c r="I6" s="24" t="s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Setup</vt:lpstr>
      <vt:lpstr>View</vt:lpstr>
      <vt:lpstr>Data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Bots</dc:creator>
  <cp:lastModifiedBy>bram boereboom</cp:lastModifiedBy>
  <dcterms:created xsi:type="dcterms:W3CDTF">2019-05-29T16:22:49Z</dcterms:created>
  <dcterms:modified xsi:type="dcterms:W3CDTF">2022-05-09T12:02:14Z</dcterms:modified>
</cp:coreProperties>
</file>